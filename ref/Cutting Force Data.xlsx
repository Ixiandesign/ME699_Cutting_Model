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luky-my.sharepoint.com/personal/jsc226_uky_edu/Documents/Dropbox Migration/Work/Teaching/ME 599 Aero Fall 2022/Module 2 Thermal Model/"/>
    </mc:Choice>
  </mc:AlternateContent>
  <xr:revisionPtr revIDLastSave="456" documentId="11_F25DC773A252ABDACC10485869D84AA65ADE58F2" xr6:coauthVersionLast="47" xr6:coauthVersionMax="47" xr10:uidLastSave="{F7A8099E-FB60-49D7-8ECA-FB9C0E8AE60D}"/>
  <bookViews>
    <workbookView xWindow="7860" yWindow="746" windowWidth="21351" windowHeight="162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 a="1"/>
  <c r="K23" i="1" s="1"/>
  <c r="K17" i="1" a="1"/>
  <c r="K17" i="1" s="1"/>
  <c r="J13" i="1"/>
  <c r="I13" i="1"/>
  <c r="I42" i="1" a="1"/>
  <c r="I42" i="1" s="1"/>
  <c r="I48" i="1" a="1"/>
  <c r="I49" i="1" s="1"/>
  <c r="J32" i="1"/>
  <c r="J33" i="1"/>
  <c r="J34" i="1"/>
  <c r="J35" i="1"/>
  <c r="J36" i="1"/>
  <c r="J37" i="1"/>
  <c r="J31" i="1"/>
  <c r="I32" i="1"/>
  <c r="I33" i="1"/>
  <c r="I34" i="1"/>
  <c r="I35" i="1"/>
  <c r="I36" i="1"/>
  <c r="I37" i="1"/>
  <c r="I31" i="1"/>
  <c r="F31" i="1"/>
  <c r="F13" i="1"/>
  <c r="C13" i="1"/>
  <c r="D13" i="1"/>
  <c r="D32" i="1"/>
  <c r="D33" i="1"/>
  <c r="D34" i="1"/>
  <c r="D35" i="1"/>
  <c r="B48" i="1" s="1" a="1"/>
  <c r="C49" i="1" s="1"/>
  <c r="D36" i="1"/>
  <c r="D37" i="1"/>
  <c r="D31" i="1"/>
  <c r="C31" i="1"/>
  <c r="C32" i="1"/>
  <c r="C33" i="1"/>
  <c r="C34" i="1"/>
  <c r="C35" i="1"/>
  <c r="C36" i="1"/>
  <c r="C37" i="1"/>
  <c r="H22" i="1" a="1"/>
  <c r="H22" i="1" s="1"/>
  <c r="H17" i="1" a="1"/>
  <c r="I17" i="1" s="1"/>
  <c r="E17" i="1" a="1"/>
  <c r="F18" i="1" s="1"/>
  <c r="E22" i="1" a="1"/>
  <c r="F23" i="1" s="1"/>
  <c r="E22" i="1"/>
  <c r="F22" i="1"/>
  <c r="E24" i="1"/>
  <c r="F24" i="1"/>
  <c r="G24" i="1"/>
  <c r="B42" i="1" a="1"/>
  <c r="B43" i="1" s="1"/>
  <c r="M29" i="1"/>
  <c r="L29" i="1"/>
  <c r="J29" i="1"/>
  <c r="I29" i="1"/>
  <c r="G29" i="1"/>
  <c r="F29" i="1"/>
  <c r="F28" i="1"/>
  <c r="I28" i="1"/>
  <c r="L28" i="1"/>
  <c r="M28" i="1"/>
  <c r="N28" i="1"/>
  <c r="O28" i="1"/>
  <c r="C28" i="1"/>
  <c r="B37" i="1"/>
  <c r="B31" i="1"/>
  <c r="B32" i="1"/>
  <c r="B33" i="1"/>
  <c r="B34" i="1"/>
  <c r="B35" i="1"/>
  <c r="B36" i="1"/>
  <c r="B29" i="1"/>
  <c r="B22" i="1" a="1"/>
  <c r="C23" i="1" s="1"/>
  <c r="B17" i="1" a="1"/>
  <c r="B17" i="1" s="1"/>
  <c r="L33" i="1" l="1"/>
  <c r="L32" i="1"/>
  <c r="M22" i="1"/>
  <c r="L24" i="1"/>
  <c r="K24" i="1"/>
  <c r="M23" i="1"/>
  <c r="L25" i="1"/>
  <c r="L23" i="1"/>
  <c r="M24" i="1"/>
  <c r="L22" i="1"/>
  <c r="K22" i="1"/>
  <c r="M25" i="1"/>
  <c r="K25" i="1"/>
  <c r="M18" i="1"/>
  <c r="L18" i="1"/>
  <c r="K20" i="1"/>
  <c r="M19" i="1"/>
  <c r="L19" i="1"/>
  <c r="L17" i="1"/>
  <c r="L35" i="1" s="1"/>
  <c r="M20" i="1"/>
  <c r="L20" i="1"/>
  <c r="K18" i="1"/>
  <c r="M17" i="1"/>
  <c r="K19" i="1"/>
  <c r="J44" i="1"/>
  <c r="I44" i="1"/>
  <c r="J43" i="1"/>
  <c r="I43" i="1"/>
  <c r="J42" i="1"/>
  <c r="I50" i="1"/>
  <c r="J49" i="1"/>
  <c r="J48" i="1"/>
  <c r="I48" i="1"/>
  <c r="I47" i="1" s="1"/>
  <c r="J50" i="1"/>
  <c r="G36" i="1"/>
  <c r="G37" i="1"/>
  <c r="G35" i="1"/>
  <c r="G34" i="1"/>
  <c r="G23" i="1"/>
  <c r="G25" i="1"/>
  <c r="E23" i="1"/>
  <c r="G31" i="1"/>
  <c r="G32" i="1"/>
  <c r="E25" i="1"/>
  <c r="G22" i="1"/>
  <c r="G33" i="1" s="1"/>
  <c r="E19" i="1"/>
  <c r="G18" i="1"/>
  <c r="G20" i="1"/>
  <c r="E18" i="1"/>
  <c r="E20" i="1"/>
  <c r="G17" i="1"/>
  <c r="G19" i="1"/>
  <c r="F17" i="1"/>
  <c r="F19" i="1"/>
  <c r="E17" i="1"/>
  <c r="H24" i="1"/>
  <c r="J25" i="1"/>
  <c r="J23" i="1"/>
  <c r="I25" i="1"/>
  <c r="I23" i="1"/>
  <c r="H25" i="1"/>
  <c r="H23" i="1"/>
  <c r="J24" i="1"/>
  <c r="J22" i="1"/>
  <c r="I24" i="1"/>
  <c r="I22" i="1"/>
  <c r="I20" i="1"/>
  <c r="I18" i="1"/>
  <c r="H19" i="1"/>
  <c r="H17" i="1"/>
  <c r="J20" i="1"/>
  <c r="J18" i="1"/>
  <c r="H20" i="1"/>
  <c r="H18" i="1"/>
  <c r="J19" i="1"/>
  <c r="J17" i="1"/>
  <c r="I19" i="1"/>
  <c r="F20" i="1"/>
  <c r="F25" i="1"/>
  <c r="B50" i="1"/>
  <c r="B49" i="1"/>
  <c r="C48" i="1"/>
  <c r="B48" i="1"/>
  <c r="B47" i="1" s="1"/>
  <c r="C50" i="1"/>
  <c r="C42" i="1"/>
  <c r="B42" i="1"/>
  <c r="B41" i="1" s="1"/>
  <c r="C44" i="1"/>
  <c r="B44" i="1"/>
  <c r="C43" i="1"/>
  <c r="D24" i="1"/>
  <c r="C22" i="1"/>
  <c r="C24" i="1"/>
  <c r="B22" i="1"/>
  <c r="B24" i="1"/>
  <c r="D23" i="1"/>
  <c r="D25" i="1"/>
  <c r="B23" i="1"/>
  <c r="B25" i="1"/>
  <c r="D22" i="1"/>
  <c r="C25" i="1"/>
  <c r="D20" i="1"/>
  <c r="D18" i="1"/>
  <c r="C20" i="1"/>
  <c r="C18" i="1"/>
  <c r="B18" i="1"/>
  <c r="B20" i="1"/>
  <c r="D19" i="1"/>
  <c r="D17" i="1"/>
  <c r="C19" i="1"/>
  <c r="C17" i="1"/>
  <c r="B19" i="1"/>
  <c r="L34" i="1" l="1"/>
  <c r="L31" i="1"/>
  <c r="L42" i="1" s="1" a="1"/>
  <c r="M35" i="1"/>
  <c r="M36" i="1"/>
  <c r="M33" i="1"/>
  <c r="M34" i="1"/>
  <c r="M37" i="1"/>
  <c r="M32" i="1"/>
  <c r="M31" i="1"/>
  <c r="L48" i="1" s="1" a="1"/>
  <c r="L37" i="1"/>
  <c r="L36" i="1"/>
  <c r="F48" i="1" a="1"/>
  <c r="F34" i="1"/>
  <c r="F35" i="1"/>
  <c r="F36" i="1"/>
  <c r="F37" i="1"/>
  <c r="F32" i="1"/>
  <c r="F33" i="1"/>
  <c r="L42" i="1" l="1"/>
  <c r="L41" i="1" s="1"/>
  <c r="L44" i="1"/>
  <c r="M44" i="1"/>
  <c r="M43" i="1"/>
  <c r="L43" i="1"/>
  <c r="M42" i="1"/>
  <c r="L13" i="1" s="1"/>
  <c r="M48" i="1"/>
  <c r="L48" i="1"/>
  <c r="L47" i="1" s="1"/>
  <c r="M50" i="1"/>
  <c r="L50" i="1"/>
  <c r="M49" i="1"/>
  <c r="L49" i="1"/>
  <c r="G48" i="1"/>
  <c r="G49" i="1"/>
  <c r="F48" i="1"/>
  <c r="F47" i="1" s="1"/>
  <c r="G13" i="1" s="1"/>
  <c r="G50" i="1"/>
  <c r="F49" i="1"/>
  <c r="F50" i="1"/>
  <c r="F42" i="1" a="1"/>
  <c r="G42" i="1" s="1"/>
  <c r="M13" i="1" l="1"/>
  <c r="G44" i="1"/>
  <c r="F43" i="1"/>
  <c r="G43" i="1"/>
  <c r="F42" i="1"/>
  <c r="F41" i="1" s="1"/>
  <c r="F44" i="1"/>
  <c r="I41" i="1" l="1"/>
</calcChain>
</file>

<file path=xl/sharedStrings.xml><?xml version="1.0" encoding="utf-8"?>
<sst xmlns="http://schemas.openxmlformats.org/spreadsheetml/2006/main" count="30" uniqueCount="12">
  <si>
    <t>Ti-6Al4V</t>
  </si>
  <si>
    <t>h</t>
  </si>
  <si>
    <t>Fc</t>
  </si>
  <si>
    <t>Ff</t>
  </si>
  <si>
    <t>410SS</t>
  </si>
  <si>
    <t>Fc parameters</t>
  </si>
  <si>
    <t>Ff parameters</t>
  </si>
  <si>
    <t>kc</t>
  </si>
  <si>
    <t>kf</t>
  </si>
  <si>
    <t>kc parameters</t>
  </si>
  <si>
    <t>kf parameters</t>
  </si>
  <si>
    <t>exact same as 1045…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</si>
</sst>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1045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0</c:v>
                </c:pt>
                <c:pt idx="1">
                  <c:v>120</c:v>
                </c:pt>
                <c:pt idx="2">
                  <c:v>200</c:v>
                </c:pt>
                <c:pt idx="3">
                  <c:v>350</c:v>
                </c:pt>
                <c:pt idx="4">
                  <c:v>550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52-435D-957B-D2D75979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63488"/>
        <c:axId val="1014463904"/>
      </c:scatterChart>
      <c:valAx>
        <c:axId val="1014463488"/>
        <c:scaling>
          <c:orientation val="minMax"/>
          <c:max val="0.12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904"/>
        <c:crosses val="autoZero"/>
        <c:crossBetween val="midCat"/>
        <c:majorUnit val="4.0000000000000008E-2"/>
      </c:valAx>
      <c:valAx>
        <c:axId val="101446390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488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1045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</c:numCache>
            </c:numRef>
          </c:xVal>
          <c:yVal>
            <c:numRef>
              <c:f>Sheet1!$G$5:$G$12</c:f>
              <c:numCache>
                <c:formatCode>General</c:formatCode>
                <c:ptCount val="8"/>
                <c:pt idx="0">
                  <c:v>0</c:v>
                </c:pt>
                <c:pt idx="1">
                  <c:v>80</c:v>
                </c:pt>
                <c:pt idx="2">
                  <c:v>120</c:v>
                </c:pt>
                <c:pt idx="3">
                  <c:v>250</c:v>
                </c:pt>
                <c:pt idx="4">
                  <c:v>370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E-4B05-B299-D86155988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63488"/>
        <c:axId val="1014463904"/>
      </c:scatterChart>
      <c:valAx>
        <c:axId val="1014463488"/>
        <c:scaling>
          <c:orientation val="minMax"/>
          <c:max val="0.12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904"/>
        <c:crosses val="autoZero"/>
        <c:crossBetween val="midCat"/>
        <c:majorUnit val="4.0000000000000008E-2"/>
      </c:valAx>
      <c:valAx>
        <c:axId val="101446390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488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7075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</c:numCache>
            </c:numRef>
          </c:xVal>
          <c:yVal>
            <c:numRef>
              <c:f>Sheet1!$I$5:$I$12</c:f>
              <c:numCache>
                <c:formatCode>General</c:formatCode>
                <c:ptCount val="8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250</c:v>
                </c:pt>
                <c:pt idx="5">
                  <c:v>310</c:v>
                </c:pt>
                <c:pt idx="6">
                  <c:v>380</c:v>
                </c:pt>
                <c:pt idx="7">
                  <c:v>420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9-4259-874C-4A9BC0663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63488"/>
        <c:axId val="1014463904"/>
      </c:scatterChart>
      <c:valAx>
        <c:axId val="1014463488"/>
        <c:scaling>
          <c:orientation val="minMax"/>
          <c:max val="0.12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904"/>
        <c:crosses val="autoZero"/>
        <c:crossBetween val="midCat"/>
        <c:majorUnit val="4.0000000000000008E-2"/>
      </c:valAx>
      <c:valAx>
        <c:axId val="101446390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488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7075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</c:numCache>
            </c:numRef>
          </c:xVal>
          <c:yVal>
            <c:numRef>
              <c:f>Sheet1!$J$5:$J$12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80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280</c:v>
                </c:pt>
                <c:pt idx="7">
                  <c:v>320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E1-4E4E-8A3D-ACC93762E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63488"/>
        <c:axId val="1014463904"/>
      </c:scatterChart>
      <c:valAx>
        <c:axId val="1014463488"/>
        <c:scaling>
          <c:orientation val="minMax"/>
          <c:max val="0.12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904"/>
        <c:crosses val="autoZero"/>
        <c:crossBetween val="midCat"/>
        <c:majorUnit val="4.0000000000000008E-2"/>
      </c:valAx>
      <c:valAx>
        <c:axId val="101446390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488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Ti-6Al4V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</c:numCache>
            </c:numRef>
          </c:xVal>
          <c:yVal>
            <c:numRef>
              <c:f>Sheet1!$C$5:$C$12</c:f>
              <c:numCache>
                <c:formatCode>General</c:formatCode>
                <c:ptCount val="8"/>
                <c:pt idx="0">
                  <c:v>0</c:v>
                </c:pt>
                <c:pt idx="1">
                  <c:v>103</c:v>
                </c:pt>
                <c:pt idx="2">
                  <c:v>180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47-4F35-A646-DEF9A7EC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63488"/>
        <c:axId val="1014463904"/>
      </c:scatterChart>
      <c:valAx>
        <c:axId val="1014463488"/>
        <c:scaling>
          <c:orientation val="minMax"/>
          <c:max val="0.12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904"/>
        <c:crosses val="autoZero"/>
        <c:crossBetween val="midCat"/>
        <c:majorUnit val="4.0000000000000008E-2"/>
      </c:valAx>
      <c:valAx>
        <c:axId val="101446390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488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Ti-6Al4V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0</c:v>
                </c:pt>
                <c:pt idx="1">
                  <c:v>120</c:v>
                </c:pt>
                <c:pt idx="2">
                  <c:v>170</c:v>
                </c:pt>
                <c:pt idx="3">
                  <c:v>230</c:v>
                </c:pt>
                <c:pt idx="4">
                  <c:v>290</c:v>
                </c:pt>
                <c:pt idx="5">
                  <c:v>330</c:v>
                </c:pt>
                <c:pt idx="6">
                  <c:v>375</c:v>
                </c:pt>
                <c:pt idx="7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73-4C5A-9983-C72373DB2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63488"/>
        <c:axId val="1014463904"/>
      </c:scatterChart>
      <c:valAx>
        <c:axId val="1014463488"/>
        <c:scaling>
          <c:orientation val="minMax"/>
          <c:max val="0.12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904"/>
        <c:crosses val="autoZero"/>
        <c:crossBetween val="midCat"/>
        <c:majorUnit val="4.0000000000000008E-2"/>
      </c:valAx>
      <c:valAx>
        <c:axId val="101446390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488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75751658997178E-2"/>
          <c:y val="0.17171296296296298"/>
          <c:w val="0.8660249806218663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Sheet1!$C$29</c:f>
              <c:strCache>
                <c:ptCount val="1"/>
                <c:pt idx="0">
                  <c:v>kc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986521645137036"/>
                  <c:y val="-0.11255796150481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Sheet1!$B$31:$B$37</c:f>
              <c:numCache>
                <c:formatCode>General</c:formatCode>
                <c:ptCount val="7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</c:numCache>
            </c:numRef>
          </c:xVal>
          <c:yVal>
            <c:numRef>
              <c:f>Sheet1!$I$31:$I$37</c:f>
              <c:numCache>
                <c:formatCode>0</c:formatCode>
                <c:ptCount val="7"/>
                <c:pt idx="0">
                  <c:v>1743.8706311945748</c:v>
                </c:pt>
                <c:pt idx="1">
                  <c:v>1642.3541247484909</c:v>
                </c:pt>
                <c:pt idx="2">
                  <c:v>1526.8322900365151</c:v>
                </c:pt>
                <c:pt idx="3">
                  <c:v>1430.757383809027</c:v>
                </c:pt>
                <c:pt idx="4">
                  <c:v>1339.5442097026603</c:v>
                </c:pt>
                <c:pt idx="5">
                  <c:v>1250.2757284447418</c:v>
                </c:pt>
                <c:pt idx="6">
                  <c:v>1161.9795936110488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28-42E0-885A-B45DF643B0B6}"/>
            </c:ext>
          </c:extLst>
        </c:ser>
        <c:ser>
          <c:idx val="1"/>
          <c:order val="1"/>
          <c:tx>
            <c:strRef>
              <c:f>Sheet1!$D$29</c:f>
              <c:strCache>
                <c:ptCount val="1"/>
                <c:pt idx="0">
                  <c:v>kf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7449693788276463E-2"/>
                  <c:y val="0.12913750364537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Sheet1!$B$31:$B$37</c:f>
              <c:numCache>
                <c:formatCode>General</c:formatCode>
                <c:ptCount val="7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</c:numCache>
            </c:numRef>
          </c:xVal>
          <c:yVal>
            <c:numRef>
              <c:f>Sheet1!$J$31:$J$37</c:f>
              <c:numCache>
                <c:formatCode>0</c:formatCode>
                <c:ptCount val="7"/>
                <c:pt idx="0">
                  <c:v>1375.0652060511222</c:v>
                </c:pt>
                <c:pt idx="1">
                  <c:v>1302.816901408451</c:v>
                </c:pt>
                <c:pt idx="2">
                  <c:v>1206.7497578060959</c:v>
                </c:pt>
                <c:pt idx="3">
                  <c:v>1121.4447176888491</c:v>
                </c:pt>
                <c:pt idx="4">
                  <c:v>1038.8302034428796</c:v>
                </c:pt>
                <c:pt idx="5">
                  <c:v>957.29189954542039</c:v>
                </c:pt>
                <c:pt idx="6">
                  <c:v>876.29170082221719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28-42E0-885A-B45DF643B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403616"/>
        <c:axId val="1360401536"/>
      </c:scatterChart>
      <c:valAx>
        <c:axId val="136040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01536"/>
        <c:crosses val="autoZero"/>
        <c:crossBetween val="midCat"/>
      </c:valAx>
      <c:valAx>
        <c:axId val="13604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0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05790494174494"/>
          <c:y val="0.17906533387314133"/>
          <c:w val="0.72570631617112047"/>
          <c:h val="0.708936673300222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410SS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</c:numCache>
            </c:numRef>
          </c:xVal>
          <c:yVal>
            <c:numRef>
              <c:f>Sheet1!$L$5:$L$12</c:f>
              <c:numCache>
                <c:formatCode>General</c:formatCode>
                <c:ptCount val="8"/>
                <c:pt idx="0">
                  <c:v>0</c:v>
                </c:pt>
                <c:pt idx="1">
                  <c:v>120</c:v>
                </c:pt>
                <c:pt idx="2">
                  <c:v>200</c:v>
                </c:pt>
                <c:pt idx="3">
                  <c:v>350</c:v>
                </c:pt>
                <c:pt idx="4">
                  <c:v>550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67-4FC0-B0EB-BEAC8E489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63488"/>
        <c:axId val="1014463904"/>
      </c:scatterChart>
      <c:valAx>
        <c:axId val="1014463488"/>
        <c:scaling>
          <c:orientation val="minMax"/>
          <c:max val="0.12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904"/>
        <c:crosses val="autoZero"/>
        <c:crossBetween val="midCat"/>
        <c:majorUnit val="4.0000000000000008E-2"/>
      </c:valAx>
      <c:valAx>
        <c:axId val="101446390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488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05790494174494"/>
          <c:y val="0.17906533387314133"/>
          <c:w val="0.72570631617112047"/>
          <c:h val="0.708936673300222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410SS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</c:numCache>
            </c:numRef>
          </c:xVal>
          <c:yVal>
            <c:numRef>
              <c:f>Sheet1!$M$5:$M$12</c:f>
              <c:numCache>
                <c:formatCode>General</c:formatCode>
                <c:ptCount val="8"/>
                <c:pt idx="0">
                  <c:v>0</c:v>
                </c:pt>
                <c:pt idx="1">
                  <c:v>80</c:v>
                </c:pt>
                <c:pt idx="2">
                  <c:v>120</c:v>
                </c:pt>
                <c:pt idx="3">
                  <c:v>250</c:v>
                </c:pt>
                <c:pt idx="4">
                  <c:v>370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A5-47ED-A8C9-6ED128674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63488"/>
        <c:axId val="1014463904"/>
      </c:scatterChart>
      <c:valAx>
        <c:axId val="1014463488"/>
        <c:scaling>
          <c:orientation val="minMax"/>
          <c:max val="0.12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904"/>
        <c:crosses val="autoZero"/>
        <c:crossBetween val="midCat"/>
        <c:majorUnit val="4.0000000000000008E-2"/>
      </c:valAx>
      <c:valAx>
        <c:axId val="101446390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3488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9.xml"/><Relationship Id="rId3" Type="http://schemas.openxmlformats.org/officeDocument/2006/relationships/image" Target="../media/image3.emf"/><Relationship Id="rId7" Type="http://schemas.openxmlformats.org/officeDocument/2006/relationships/chart" Target="../charts/chart3.xml"/><Relationship Id="rId12" Type="http://schemas.openxmlformats.org/officeDocument/2006/relationships/chart" Target="../charts/chart8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2.xml"/><Relationship Id="rId11" Type="http://schemas.openxmlformats.org/officeDocument/2006/relationships/chart" Target="../charts/chart7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emf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280193</xdr:colOff>
      <xdr:row>0</xdr:row>
      <xdr:rowOff>169878</xdr:rowOff>
    </xdr:from>
    <xdr:to>
      <xdr:col>17</xdr:col>
      <xdr:colOff>470692</xdr:colOff>
      <xdr:row>27</xdr:row>
      <xdr:rowOff>109646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60C36-56D6-9870-4A76-997520A81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4746" y="169878"/>
          <a:ext cx="2798286" cy="494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229377</xdr:colOff>
      <xdr:row>27</xdr:row>
      <xdr:rowOff>148573</xdr:rowOff>
    </xdr:from>
    <xdr:to>
      <xdr:col>19</xdr:col>
      <xdr:colOff>245706</xdr:colOff>
      <xdr:row>54</xdr:row>
      <xdr:rowOff>28830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231088-DE3A-8921-26B7-F37816A90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7823" y="5154805"/>
          <a:ext cx="2624115" cy="4886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99854</xdr:colOff>
      <xdr:row>2</xdr:row>
      <xdr:rowOff>102910</xdr:rowOff>
    </xdr:from>
    <xdr:to>
      <xdr:col>21</xdr:col>
      <xdr:colOff>94413</xdr:colOff>
      <xdr:row>28</xdr:row>
      <xdr:rowOff>157339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F3C044-91CE-9960-C9E4-7E2DF8FE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946" y="473742"/>
          <a:ext cx="2602344" cy="4875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571499</xdr:colOff>
      <xdr:row>27</xdr:row>
      <xdr:rowOff>10885</xdr:rowOff>
    </xdr:from>
    <xdr:to>
      <xdr:col>20</xdr:col>
      <xdr:colOff>370113</xdr:colOff>
      <xdr:row>53</xdr:row>
      <xdr:rowOff>21771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1A52F8-DC13-7190-11AF-EFEF9F252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1785" y="5007428"/>
          <a:ext cx="2411185" cy="4822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48986</xdr:colOff>
      <xdr:row>0</xdr:row>
      <xdr:rowOff>0</xdr:rowOff>
    </xdr:from>
    <xdr:to>
      <xdr:col>16</xdr:col>
      <xdr:colOff>503753</xdr:colOff>
      <xdr:row>14</xdr:row>
      <xdr:rowOff>34741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FF7B39-7986-320A-1416-299275025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382795</xdr:colOff>
      <xdr:row>0</xdr:row>
      <xdr:rowOff>137567</xdr:rowOff>
    </xdr:from>
    <xdr:to>
      <xdr:col>21</xdr:col>
      <xdr:colOff>185614</xdr:colOff>
      <xdr:row>14</xdr:row>
      <xdr:rowOff>172308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875B26-EA30-4CC3-84CE-03C689A5A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490455</xdr:colOff>
      <xdr:row>26</xdr:row>
      <xdr:rowOff>71774</xdr:rowOff>
    </xdr:from>
    <xdr:to>
      <xdr:col>19</xdr:col>
      <xdr:colOff>293275</xdr:colOff>
      <xdr:row>40</xdr:row>
      <xdr:rowOff>106514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466B57-92A9-48F1-A42B-0001D9BE2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131587</xdr:colOff>
      <xdr:row>25</xdr:row>
      <xdr:rowOff>83736</xdr:rowOff>
    </xdr:from>
    <xdr:to>
      <xdr:col>20</xdr:col>
      <xdr:colOff>586352</xdr:colOff>
      <xdr:row>39</xdr:row>
      <xdr:rowOff>118477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5E201F-EF8D-458B-A9F3-2DCF961E2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538304</xdr:colOff>
      <xdr:row>38</xdr:row>
      <xdr:rowOff>119622</xdr:rowOff>
    </xdr:from>
    <xdr:to>
      <xdr:col>19</xdr:col>
      <xdr:colOff>341124</xdr:colOff>
      <xdr:row>52</xdr:row>
      <xdr:rowOff>154363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629318C-93AC-4A78-9C09-E7E52F70F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119623</xdr:colOff>
      <xdr:row>37</xdr:row>
      <xdr:rowOff>101680</xdr:rowOff>
    </xdr:from>
    <xdr:to>
      <xdr:col>20</xdr:col>
      <xdr:colOff>574388</xdr:colOff>
      <xdr:row>51</xdr:row>
      <xdr:rowOff>136421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82C8B2A-A2B8-4728-8F9C-310AD7EEA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531127</xdr:colOff>
      <xdr:row>49</xdr:row>
      <xdr:rowOff>138642</xdr:rowOff>
    </xdr:from>
    <xdr:to>
      <xdr:col>15</xdr:col>
      <xdr:colOff>328963</xdr:colOff>
      <xdr:row>64</xdr:row>
      <xdr:rowOff>100602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DB0B153-5FEE-2D5C-1FAC-0302CECC8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53830</xdr:colOff>
      <xdr:row>12</xdr:row>
      <xdr:rowOff>23924</xdr:rowOff>
    </xdr:from>
    <xdr:to>
      <xdr:col>16</xdr:col>
      <xdr:colOff>508597</xdr:colOff>
      <xdr:row>26</xdr:row>
      <xdr:rowOff>58665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D622440-3A5A-4FB7-8B6F-222FD76D3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406717</xdr:colOff>
      <xdr:row>12</xdr:row>
      <xdr:rowOff>155510</xdr:rowOff>
    </xdr:from>
    <xdr:to>
      <xdr:col>21</xdr:col>
      <xdr:colOff>209538</xdr:colOff>
      <xdr:row>27</xdr:row>
      <xdr:rowOff>4835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ABC61B7-9277-472A-A364-141896A30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0"/>
  <sheetViews>
    <sheetView tabSelected="1" topLeftCell="A7" zoomScale="91" zoomScaleNormal="91" workbookViewId="0">
      <selection activeCell="F52" sqref="F52"/>
    </sheetView>
  </sheetViews>
  <sheetFormatPr defaultRowHeight="14.6" x14ac:dyDescent="0.4"/>
  <cols>
    <col min="6" max="6" width="12.4609375" bestFit="1" customWidth="1"/>
    <col min="7" max="8" width="9.3046875" bestFit="1" customWidth="1"/>
  </cols>
  <sheetData>
    <row r="2" spans="2:13" x14ac:dyDescent="0.4">
      <c r="L2" s="2" t="s">
        <v>11</v>
      </c>
    </row>
    <row r="3" spans="2:13" x14ac:dyDescent="0.4">
      <c r="C3" t="s">
        <v>0</v>
      </c>
      <c r="F3">
        <v>1045</v>
      </c>
      <c r="I3">
        <v>7075</v>
      </c>
      <c r="L3" t="s">
        <v>4</v>
      </c>
    </row>
    <row r="4" spans="2:13" x14ac:dyDescent="0.4">
      <c r="B4" t="s">
        <v>1</v>
      </c>
      <c r="C4" t="s">
        <v>2</v>
      </c>
      <c r="D4" t="s">
        <v>3</v>
      </c>
      <c r="F4" t="s">
        <v>2</v>
      </c>
      <c r="G4" t="s">
        <v>3</v>
      </c>
      <c r="I4" t="s">
        <v>2</v>
      </c>
      <c r="J4" t="s">
        <v>3</v>
      </c>
      <c r="L4" t="s">
        <v>2</v>
      </c>
      <c r="M4" t="s">
        <v>3</v>
      </c>
    </row>
    <row r="5" spans="2:13" x14ac:dyDescent="0.4">
      <c r="B5">
        <v>0</v>
      </c>
      <c r="C5">
        <v>0</v>
      </c>
      <c r="D5">
        <v>0</v>
      </c>
      <c r="F5">
        <v>0</v>
      </c>
      <c r="G5">
        <v>0</v>
      </c>
      <c r="I5">
        <v>0</v>
      </c>
      <c r="J5">
        <v>0</v>
      </c>
      <c r="L5">
        <v>0</v>
      </c>
      <c r="M5">
        <v>0</v>
      </c>
    </row>
    <row r="6" spans="2:13" x14ac:dyDescent="0.4">
      <c r="B6">
        <v>0.01</v>
      </c>
      <c r="C6">
        <v>103</v>
      </c>
      <c r="D6">
        <v>120</v>
      </c>
      <c r="F6">
        <v>120</v>
      </c>
      <c r="G6">
        <v>80</v>
      </c>
      <c r="I6">
        <v>50</v>
      </c>
      <c r="J6">
        <v>40</v>
      </c>
      <c r="L6">
        <v>120</v>
      </c>
      <c r="M6">
        <v>80</v>
      </c>
    </row>
    <row r="7" spans="2:13" x14ac:dyDescent="0.4">
      <c r="B7">
        <v>0.02</v>
      </c>
      <c r="C7">
        <v>180</v>
      </c>
      <c r="D7">
        <v>170</v>
      </c>
      <c r="F7">
        <v>200</v>
      </c>
      <c r="G7">
        <v>120</v>
      </c>
      <c r="I7">
        <v>100</v>
      </c>
      <c r="J7">
        <v>80</v>
      </c>
      <c r="L7">
        <v>200</v>
      </c>
      <c r="M7">
        <v>120</v>
      </c>
    </row>
    <row r="8" spans="2:13" x14ac:dyDescent="0.4">
      <c r="B8">
        <v>0.04</v>
      </c>
      <c r="C8">
        <v>300</v>
      </c>
      <c r="D8">
        <v>230</v>
      </c>
      <c r="F8">
        <v>350</v>
      </c>
      <c r="G8">
        <v>250</v>
      </c>
      <c r="I8">
        <v>200</v>
      </c>
      <c r="J8">
        <v>150</v>
      </c>
      <c r="L8">
        <v>350</v>
      </c>
      <c r="M8">
        <v>250</v>
      </c>
    </row>
    <row r="9" spans="2:13" x14ac:dyDescent="0.4">
      <c r="B9">
        <v>0.06</v>
      </c>
      <c r="C9">
        <v>450</v>
      </c>
      <c r="D9">
        <v>290</v>
      </c>
      <c r="F9">
        <v>550</v>
      </c>
      <c r="G9">
        <v>370</v>
      </c>
      <c r="I9">
        <v>250</v>
      </c>
      <c r="J9">
        <v>200</v>
      </c>
      <c r="L9">
        <v>550</v>
      </c>
      <c r="M9">
        <v>370</v>
      </c>
    </row>
    <row r="10" spans="2:13" x14ac:dyDescent="0.4">
      <c r="B10">
        <v>0.08</v>
      </c>
      <c r="C10">
        <v>600</v>
      </c>
      <c r="D10">
        <v>330</v>
      </c>
      <c r="F10">
        <v>750</v>
      </c>
      <c r="G10">
        <v>500</v>
      </c>
      <c r="I10">
        <v>310</v>
      </c>
      <c r="J10">
        <v>250</v>
      </c>
      <c r="L10">
        <v>750</v>
      </c>
      <c r="M10">
        <v>500</v>
      </c>
    </row>
    <row r="11" spans="2:13" x14ac:dyDescent="0.4">
      <c r="B11">
        <v>0.1</v>
      </c>
      <c r="C11">
        <v>700</v>
      </c>
      <c r="D11">
        <v>375</v>
      </c>
      <c r="F11">
        <v>900</v>
      </c>
      <c r="G11">
        <v>600</v>
      </c>
      <c r="I11">
        <v>380</v>
      </c>
      <c r="J11">
        <v>280</v>
      </c>
      <c r="L11">
        <v>900</v>
      </c>
      <c r="M11">
        <v>600</v>
      </c>
    </row>
    <row r="12" spans="2:13" x14ac:dyDescent="0.4">
      <c r="B12">
        <v>0.12</v>
      </c>
      <c r="C12">
        <v>800</v>
      </c>
      <c r="D12">
        <v>400</v>
      </c>
      <c r="F12">
        <v>1050</v>
      </c>
      <c r="G12">
        <v>700</v>
      </c>
      <c r="I12">
        <v>420</v>
      </c>
      <c r="J12">
        <v>320</v>
      </c>
      <c r="L12">
        <v>1050</v>
      </c>
      <c r="M12">
        <v>700</v>
      </c>
    </row>
    <row r="13" spans="2:13" x14ac:dyDescent="0.4">
      <c r="C13" s="1">
        <f>C42*B12^B41*B12*3</f>
        <v>826.5825017764322</v>
      </c>
      <c r="D13" s="1">
        <f>C48*B8^B47*B8*3</f>
        <v>219.91057271929375</v>
      </c>
      <c r="F13" s="1">
        <f>G42*B7^F41*B7*3</f>
        <v>195.96636128600946</v>
      </c>
      <c r="G13" s="1">
        <f>G48*B11^F47*B11*3</f>
        <v>601.31712936011706</v>
      </c>
      <c r="I13" s="1">
        <f>J42*B11^I41*B11*3</f>
        <v>380.54453486799684</v>
      </c>
      <c r="J13" s="1">
        <f>J48*B11^I47*B11*3</f>
        <v>292.59597507954965</v>
      </c>
      <c r="L13" s="1" t="e">
        <f>M42*H7^L41*H7*3</f>
        <v>#DIV/0!</v>
      </c>
      <c r="M13" s="1" t="e">
        <f>M48*H11^L47*H11*3</f>
        <v>#DIV/0!</v>
      </c>
    </row>
    <row r="16" spans="2:13" x14ac:dyDescent="0.4">
      <c r="B16" t="s">
        <v>5</v>
      </c>
      <c r="E16" t="s">
        <v>5</v>
      </c>
      <c r="H16" t="s">
        <v>5</v>
      </c>
      <c r="K16" t="s">
        <v>5</v>
      </c>
    </row>
    <row r="17" spans="2:15" x14ac:dyDescent="0.4">
      <c r="B17">
        <f t="array" ref="B17:D20">LINEST(C5:C12,B5:B12^{1,2},TRUE,TRUE)</f>
        <v>-14061.032863849767</v>
      </c>
      <c r="C17">
        <v>8311.234071093224</v>
      </c>
      <c r="D17">
        <v>9.0496311200537463</v>
      </c>
      <c r="E17">
        <f t="array" ref="E17:G20">LINEST(F5:F12,B5:B12^{1,2},TRUE,TRUE)</f>
        <v>-6229.0409121394978</v>
      </c>
      <c r="F17">
        <v>9506.0082718533395</v>
      </c>
      <c r="G17">
        <v>7.472054549519406</v>
      </c>
      <c r="H17">
        <f t="array" ref="H17:J20">LINEST(I5:I12,B5:B12^{1,2},TRUE,TRUE)</f>
        <v>-12952.716297786716</v>
      </c>
      <c r="I17">
        <v>5011.0943438408212</v>
      </c>
      <c r="J17">
        <v>3.5004471272077069</v>
      </c>
      <c r="K17">
        <f t="array" ref="K17:M20">LINEST(L5:L12,B5:B12^{1,2},TRUE,TRUE)</f>
        <v>-6229.0409121394978</v>
      </c>
      <c r="L17">
        <v>9506.0082718533395</v>
      </c>
      <c r="M17">
        <v>7.472054549519406</v>
      </c>
    </row>
    <row r="18" spans="2:15" x14ac:dyDescent="0.4">
      <c r="B18">
        <v>3819.0435766675132</v>
      </c>
      <c r="C18">
        <v>463.83664501499641</v>
      </c>
      <c r="D18">
        <v>10.647760145685085</v>
      </c>
      <c r="E18">
        <v>5031.5581429796375</v>
      </c>
      <c r="F18">
        <v>611.10092131340559</v>
      </c>
      <c r="G18">
        <v>14.028335416969782</v>
      </c>
      <c r="H18">
        <v>2714.9355356749415</v>
      </c>
      <c r="I18">
        <v>329.7387330150097</v>
      </c>
      <c r="J18">
        <v>7.5694298361708841</v>
      </c>
      <c r="K18">
        <v>5031.5581429796375</v>
      </c>
      <c r="L18">
        <v>611.10092131340559</v>
      </c>
      <c r="M18">
        <v>14.028335416969782</v>
      </c>
    </row>
    <row r="19" spans="2:15" x14ac:dyDescent="0.4">
      <c r="B19">
        <v>0.99829026405016619</v>
      </c>
      <c r="C19">
        <v>14.306353970066414</v>
      </c>
      <c r="D19" t="e">
        <v>#N/A</v>
      </c>
      <c r="E19">
        <v>0.99828141427685479</v>
      </c>
      <c r="F19">
        <v>18.848502346037414</v>
      </c>
      <c r="G19" t="e">
        <v>#N/A</v>
      </c>
      <c r="H19">
        <v>0.99689174202469899</v>
      </c>
      <c r="I19">
        <v>10.170302590045329</v>
      </c>
      <c r="J19" t="e">
        <v>#N/A</v>
      </c>
      <c r="K19">
        <v>0.99828141427685479</v>
      </c>
      <c r="L19">
        <v>18.848502346037414</v>
      </c>
      <c r="M19" t="e">
        <v>#N/A</v>
      </c>
    </row>
    <row r="20" spans="2:15" x14ac:dyDescent="0.4">
      <c r="B20">
        <v>1459.714092323966</v>
      </c>
      <c r="C20">
        <v>5</v>
      </c>
      <c r="D20" t="e">
        <v>#N/A</v>
      </c>
      <c r="E20">
        <v>1452.1844922141629</v>
      </c>
      <c r="F20">
        <v>5</v>
      </c>
      <c r="G20" t="e">
        <v>#N/A</v>
      </c>
      <c r="H20">
        <v>801.80904380059178</v>
      </c>
      <c r="I20">
        <v>5</v>
      </c>
      <c r="J20" t="e">
        <v>#N/A</v>
      </c>
      <c r="K20">
        <v>1452.1844922141629</v>
      </c>
      <c r="L20">
        <v>5</v>
      </c>
      <c r="M20" t="e">
        <v>#N/A</v>
      </c>
    </row>
    <row r="21" spans="2:15" x14ac:dyDescent="0.4">
      <c r="B21" t="s">
        <v>6</v>
      </c>
      <c r="E21" t="s">
        <v>6</v>
      </c>
      <c r="H21" t="s">
        <v>6</v>
      </c>
      <c r="K21" t="s">
        <v>6</v>
      </c>
    </row>
    <row r="22" spans="2:15" x14ac:dyDescent="0.4">
      <c r="B22">
        <f t="array" ref="B22:D25">LINEST(D5:D12,B5:B12^{1,2},TRUE,TRUE)</f>
        <v>-23180.751173708912</v>
      </c>
      <c r="C22">
        <v>5713.9783143304248</v>
      </c>
      <c r="D22">
        <v>38.010842834786558</v>
      </c>
      <c r="E22">
        <f t="array" ref="E22:G25">LINEST(G5:G12,B5:B12^{1,2},TRUE,TRUE)</f>
        <v>-5960.7645875251337</v>
      </c>
      <c r="F22">
        <v>6567.0411357031035</v>
      </c>
      <c r="G22">
        <v>1.7175273865415619</v>
      </c>
      <c r="H22">
        <f t="array" ref="H22:J25">LINEST(J5:J12,B5:B12^{1,2},TRUE,TRUE)</f>
        <v>-11988.598256203888</v>
      </c>
      <c r="I22">
        <v>4051.3637379834554</v>
      </c>
      <c r="J22">
        <v>1.9371786273194971</v>
      </c>
      <c r="K22">
        <f t="array" ref="K22:M25">LINEST(M5:M12,B5:B12^{1,2},TRUE,TRUE)</f>
        <v>-5960.7645875251337</v>
      </c>
      <c r="L22">
        <v>6567.0411357031035</v>
      </c>
      <c r="M22">
        <v>1.7175273865415619</v>
      </c>
    </row>
    <row r="23" spans="2:15" x14ac:dyDescent="0.4">
      <c r="B23">
        <v>6916.2659419170614</v>
      </c>
      <c r="C23">
        <v>840.00549512702889</v>
      </c>
      <c r="D23">
        <v>19.28303235480859</v>
      </c>
      <c r="E23">
        <v>2595.413308995136</v>
      </c>
      <c r="F23">
        <v>315.2223266124783</v>
      </c>
      <c r="G23">
        <v>7.2361935228855305</v>
      </c>
      <c r="H23">
        <v>1262.0680276317389</v>
      </c>
      <c r="I23">
        <v>153.28272326973871</v>
      </c>
      <c r="J23">
        <v>3.5187337813743245</v>
      </c>
      <c r="K23">
        <v>2595.413308995136</v>
      </c>
      <c r="L23">
        <v>315.2223266124783</v>
      </c>
      <c r="M23">
        <v>7.2361935228855305</v>
      </c>
    </row>
    <row r="24" spans="2:15" x14ac:dyDescent="0.4">
      <c r="B24">
        <v>0.9744615568548346</v>
      </c>
      <c r="C24">
        <v>25.908724718590605</v>
      </c>
      <c r="D24" t="e">
        <v>#N/A</v>
      </c>
      <c r="E24">
        <v>0.99897729870392848</v>
      </c>
      <c r="F24">
        <v>9.7225655459805189</v>
      </c>
      <c r="G24" t="e">
        <v>#N/A</v>
      </c>
      <c r="H24">
        <v>0.99883583910872642</v>
      </c>
      <c r="I24">
        <v>4.7277784542480861</v>
      </c>
      <c r="J24" t="e">
        <v>#N/A</v>
      </c>
      <c r="K24">
        <v>0.99897729870392848</v>
      </c>
      <c r="L24">
        <v>9.7225655459805189</v>
      </c>
      <c r="M24" t="e">
        <v>#N/A</v>
      </c>
    </row>
    <row r="25" spans="2:15" x14ac:dyDescent="0.4">
      <c r="B25">
        <v>95.391636768518637</v>
      </c>
      <c r="C25">
        <v>5</v>
      </c>
      <c r="D25" t="e">
        <v>#N/A</v>
      </c>
      <c r="E25">
        <v>2442.0065334357919</v>
      </c>
      <c r="F25">
        <v>5</v>
      </c>
      <c r="G25" t="e">
        <v>#N/A</v>
      </c>
      <c r="H25">
        <v>2144.9694938987868</v>
      </c>
      <c r="I25">
        <v>5</v>
      </c>
      <c r="J25" t="e">
        <v>#N/A</v>
      </c>
      <c r="K25">
        <v>2442.0065334357919</v>
      </c>
      <c r="L25">
        <v>5</v>
      </c>
      <c r="M25" t="e">
        <v>#N/A</v>
      </c>
    </row>
    <row r="28" spans="2:15" x14ac:dyDescent="0.4">
      <c r="C28" t="str">
        <f>C3</f>
        <v>Ti-6Al4V</v>
      </c>
      <c r="F28">
        <f t="shared" ref="D28:O28" si="0">F3</f>
        <v>1045</v>
      </c>
      <c r="I28">
        <f t="shared" si="0"/>
        <v>7075</v>
      </c>
      <c r="L28" t="str">
        <f t="shared" si="0"/>
        <v>410SS</v>
      </c>
      <c r="M28">
        <f t="shared" si="0"/>
        <v>0</v>
      </c>
      <c r="N28">
        <f t="shared" si="0"/>
        <v>0</v>
      </c>
      <c r="O28">
        <f t="shared" si="0"/>
        <v>0</v>
      </c>
    </row>
    <row r="29" spans="2:15" x14ac:dyDescent="0.4">
      <c r="B29" t="str">
        <f>B4</f>
        <v>h</v>
      </c>
      <c r="C29" t="s">
        <v>7</v>
      </c>
      <c r="D29" t="s">
        <v>8</v>
      </c>
      <c r="F29" t="str">
        <f>C29</f>
        <v>kc</v>
      </c>
      <c r="G29" t="str">
        <f>D29</f>
        <v>kf</v>
      </c>
      <c r="I29" t="str">
        <f>F29</f>
        <v>kc</v>
      </c>
      <c r="J29" t="str">
        <f>G29</f>
        <v>kf</v>
      </c>
      <c r="L29" t="str">
        <f>F29</f>
        <v>kc</v>
      </c>
      <c r="M29" t="str">
        <f>J29</f>
        <v>kf</v>
      </c>
    </row>
    <row r="30" spans="2:15" x14ac:dyDescent="0.4">
      <c r="C30" s="1"/>
      <c r="D30" s="1"/>
    </row>
    <row r="31" spans="2:15" x14ac:dyDescent="0.4">
      <c r="B31">
        <f t="shared" ref="B30:B36" si="1">B6</f>
        <v>0.01</v>
      </c>
      <c r="C31" s="1">
        <f>($B$17*$B31^2+$C$17*$B31+$D$17)/($B31*3)</f>
        <v>3025.1956181533674</v>
      </c>
      <c r="D31" s="1">
        <f>($B$22*$B31^2+$C$22*$B31+$D$22)/($B31*3)</f>
        <v>3094.4183620239974</v>
      </c>
      <c r="F31" s="1">
        <f>($E$17*$B31^2+$F$17*$B31+$G$17)/($B31*3)</f>
        <v>3396.9744392279617</v>
      </c>
      <c r="G31" s="1">
        <f>($E$22*$B31^2+$F$22*$B31+$G$22)/($B31*3)</f>
        <v>2226.3954094940027</v>
      </c>
      <c r="I31" s="1">
        <f>($H$17*$B31^2+$I$17*$B31+$J$17)/($B31*3)</f>
        <v>1743.8706311945748</v>
      </c>
      <c r="J31" s="1">
        <f>($H$22*$B31^2+$I$22*$B31+$J$22)/($B31*3)</f>
        <v>1375.0652060511222</v>
      </c>
      <c r="L31" s="1">
        <f>($K$17*$B31^2+$L$17*$B31+$M$17)/($B31*3)</f>
        <v>3396.9744392279617</v>
      </c>
      <c r="M31" s="1">
        <f>($K$22*$B31^2+$L$22*$B31+$M$22)/($B31*3)</f>
        <v>2226.3954094940027</v>
      </c>
    </row>
    <row r="32" spans="2:15" x14ac:dyDescent="0.4">
      <c r="B32">
        <f t="shared" si="1"/>
        <v>0.02</v>
      </c>
      <c r="C32" s="1">
        <f t="shared" ref="C32:C37" si="2">($B$17*B32^2+$C$17*B32+$D$17)/($B32*3)</f>
        <v>2827.4983232729719</v>
      </c>
      <c r="D32" s="1">
        <f t="shared" ref="D32:D37" si="3">($B$22*$B32^2+$C$22*$B32+$D$22)/($B32*3)</f>
        <v>2383.6351441985248</v>
      </c>
      <c r="F32" s="1">
        <f t="shared" ref="F32:F37" si="4">($E$17*$B32^2+$F$17*$B32+$G$17)/($B32*3)</f>
        <v>3251.6767270288406</v>
      </c>
      <c r="G32" s="1">
        <f t="shared" ref="G32:G37" si="5">($E$22*$B32^2+$F$22*$B32+$G$22)/($B32*3)</f>
        <v>2177.9007377598932</v>
      </c>
      <c r="I32" s="1">
        <f t="shared" ref="I32:I37" si="6">($H$17*$B32^2+$I$17*$B32+$J$17)/($B32*3)</f>
        <v>1642.3541247484909</v>
      </c>
      <c r="J32" s="1">
        <f t="shared" ref="J32:J37" si="7">($H$22*$B32^2+$I$22*$B32+$J$22)/($B32*3)</f>
        <v>1302.816901408451</v>
      </c>
      <c r="L32" s="1">
        <f t="shared" ref="L32:L37" si="8">($K$17*$B32^2+$L$17*$B32+$M$17)/($B32*3)</f>
        <v>3251.6767270288406</v>
      </c>
      <c r="M32" s="1">
        <f t="shared" ref="M32:M37" si="9">($K$22*$B32^2+$L$22*$B32+$M$22)/($B32*3)</f>
        <v>2177.9007377598932</v>
      </c>
    </row>
    <row r="33" spans="2:13" x14ac:dyDescent="0.4">
      <c r="B33">
        <f t="shared" si="1"/>
        <v>0.04</v>
      </c>
      <c r="C33" s="1">
        <f t="shared" si="2"/>
        <v>2658.344511513526</v>
      </c>
      <c r="D33" s="1">
        <f t="shared" si="3"/>
        <v>1912.3397794172442</v>
      </c>
      <c r="F33" s="1">
        <f t="shared" si="4"/>
        <v>3147.8826663685813</v>
      </c>
      <c r="G33" s="1">
        <f t="shared" si="5"/>
        <v>2123.849578955213</v>
      </c>
      <c r="I33" s="1">
        <f t="shared" si="6"/>
        <v>1526.8322900365151</v>
      </c>
      <c r="J33" s="1">
        <f t="shared" si="7"/>
        <v>1206.7497578060959</v>
      </c>
      <c r="L33" s="1">
        <f t="shared" si="8"/>
        <v>3147.8826663685813</v>
      </c>
      <c r="M33" s="1">
        <f t="shared" si="9"/>
        <v>2123.849578955213</v>
      </c>
    </row>
    <row r="34" spans="2:13" x14ac:dyDescent="0.4">
      <c r="B34">
        <f t="shared" si="1"/>
        <v>0.06</v>
      </c>
      <c r="C34" s="1">
        <f t="shared" si="2"/>
        <v>2539.4664281988225</v>
      </c>
      <c r="D34" s="1">
        <f t="shared" si="3"/>
        <v>1652.2157637181108</v>
      </c>
      <c r="F34" s="1">
        <f t="shared" si="4"/>
        <v>3085.60001987232</v>
      </c>
      <c r="G34" s="1">
        <f t="shared" si="5"/>
        <v>2079.3402389646517</v>
      </c>
      <c r="I34" s="1">
        <f t="shared" si="6"/>
        <v>1430.757383809027</v>
      </c>
      <c r="J34" s="1">
        <f t="shared" si="7"/>
        <v>1121.4447176888491</v>
      </c>
      <c r="L34" s="1">
        <f t="shared" si="8"/>
        <v>3085.60001987232</v>
      </c>
      <c r="M34" s="1">
        <f t="shared" si="9"/>
        <v>2079.3402389646517</v>
      </c>
    </row>
    <row r="35" spans="2:13" x14ac:dyDescent="0.4">
      <c r="B35">
        <f t="shared" si="1"/>
        <v>0.08</v>
      </c>
      <c r="C35" s="1">
        <f t="shared" si="2"/>
        <v>2433.157276995305</v>
      </c>
      <c r="D35" s="1">
        <f t="shared" si="3"/>
        <v>1444.8845852895147</v>
      </c>
      <c r="F35" s="1">
        <f t="shared" si="4"/>
        <v>3033.6952269170574</v>
      </c>
      <c r="G35" s="1">
        <f t="shared" si="5"/>
        <v>2037.2163536776211</v>
      </c>
      <c r="I35" s="1">
        <f t="shared" si="6"/>
        <v>1339.5442097026603</v>
      </c>
      <c r="J35" s="1">
        <f t="shared" si="7"/>
        <v>1038.8302034428796</v>
      </c>
      <c r="L35" s="1">
        <f t="shared" si="8"/>
        <v>3033.6952269170574</v>
      </c>
      <c r="M35" s="1">
        <f t="shared" si="9"/>
        <v>2037.2163536776211</v>
      </c>
    </row>
    <row r="36" spans="2:13" x14ac:dyDescent="0.4">
      <c r="B36">
        <f t="shared" si="1"/>
        <v>0.1</v>
      </c>
      <c r="C36" s="1">
        <f t="shared" si="2"/>
        <v>2331.8756986362614</v>
      </c>
      <c r="D36" s="1">
        <f t="shared" si="3"/>
        <v>1258.6705417691328</v>
      </c>
      <c r="F36" s="1">
        <f t="shared" si="4"/>
        <v>2985.9415753781941</v>
      </c>
      <c r="G36" s="1">
        <f t="shared" si="5"/>
        <v>1996.0466502720014</v>
      </c>
      <c r="I36" s="1">
        <f t="shared" si="6"/>
        <v>1250.2757284447418</v>
      </c>
      <c r="J36" s="1">
        <f t="shared" si="7"/>
        <v>957.29189954542039</v>
      </c>
      <c r="L36" s="1">
        <f t="shared" si="8"/>
        <v>2985.9415753781941</v>
      </c>
      <c r="M36" s="1">
        <f t="shared" si="9"/>
        <v>1996.0466502720014</v>
      </c>
    </row>
    <row r="37" spans="2:13" x14ac:dyDescent="0.4">
      <c r="B37">
        <f>B12</f>
        <v>0.12</v>
      </c>
      <c r="C37" s="1">
        <f t="shared" si="2"/>
        <v>2233.1079066994553</v>
      </c>
      <c r="D37" s="1">
        <f t="shared" si="3"/>
        <v>1083.0150657028587</v>
      </c>
      <c r="F37" s="1">
        <f t="shared" si="4"/>
        <v>2940.263494547532</v>
      </c>
      <c r="G37" s="1">
        <f t="shared" si="5"/>
        <v>1955.3540378070888</v>
      </c>
      <c r="I37" s="1">
        <f t="shared" si="6"/>
        <v>1161.9795936110488</v>
      </c>
      <c r="J37" s="1">
        <f t="shared" si="7"/>
        <v>876.29170082221719</v>
      </c>
      <c r="L37" s="1">
        <f t="shared" si="8"/>
        <v>2940.263494547532</v>
      </c>
      <c r="M37" s="1">
        <f t="shared" si="9"/>
        <v>1955.3540378070888</v>
      </c>
    </row>
    <row r="40" spans="2:13" x14ac:dyDescent="0.4">
      <c r="B40" t="s">
        <v>9</v>
      </c>
      <c r="F40" t="s">
        <v>9</v>
      </c>
      <c r="I40" t="s">
        <v>9</v>
      </c>
      <c r="L40" t="s">
        <v>9</v>
      </c>
    </row>
    <row r="41" spans="2:13" x14ac:dyDescent="0.4">
      <c r="B41">
        <f>LN(B42)</f>
        <v>-0.11671994127128654</v>
      </c>
      <c r="F41">
        <f>LN(F42)</f>
        <v>-5.5632944719956341E-2</v>
      </c>
      <c r="I41">
        <f>LN(I42)</f>
        <v>-0.15515174278455524</v>
      </c>
      <c r="L41">
        <f>LN(L42)</f>
        <v>-5.5632944719956341E-2</v>
      </c>
    </row>
    <row r="42" spans="2:13" x14ac:dyDescent="0.4">
      <c r="B42">
        <f t="array" ref="B42:C44">LOGEST(C31:C37,LN(B31:B37),TRUE,TRUE)</f>
        <v>0.88983436415131745</v>
      </c>
      <c r="C42">
        <v>1792.6924756715648</v>
      </c>
      <c r="F42">
        <f t="array" ref="F42:G44">LOGEST(F31:F37,LN(B31:B37),TRUE,TRUE)</f>
        <v>0.94588626472655146</v>
      </c>
      <c r="G42">
        <v>2627.3115435776808</v>
      </c>
      <c r="I42">
        <f t="array" ref="I42:J44">LOGEST(I31:I37,LN(B31:B37),TRUE,TRUE)</f>
        <v>0.85628523251920152</v>
      </c>
      <c r="J42">
        <v>887.42670117014563</v>
      </c>
      <c r="L42">
        <f t="array" ref="L42:M44">LOGEST(L31:L37,LN(B31:B37),TRUE,TRUE)</f>
        <v>0.94588626472655146</v>
      </c>
      <c r="M42">
        <v>2627.3115435776808</v>
      </c>
    </row>
    <row r="43" spans="2:13" x14ac:dyDescent="0.4">
      <c r="B43">
        <v>8.660280440883239E-3</v>
      </c>
      <c r="C43">
        <v>2.7574272042203796E-2</v>
      </c>
      <c r="F43">
        <v>1.8164938101341334E-3</v>
      </c>
      <c r="G43">
        <v>5.7837035215581875E-3</v>
      </c>
      <c r="I43">
        <v>1.9386278470908541E-2</v>
      </c>
      <c r="J43">
        <v>6.1725774366289711E-2</v>
      </c>
      <c r="L43">
        <v>1.8164938101341334E-3</v>
      </c>
      <c r="M43">
        <v>5.7837035215581875E-3</v>
      </c>
    </row>
    <row r="44" spans="2:13" x14ac:dyDescent="0.4">
      <c r="B44">
        <v>0.97321134206347992</v>
      </c>
      <c r="C44">
        <v>1.9250187269685679E-2</v>
      </c>
      <c r="F44">
        <v>0.99469769307810452</v>
      </c>
      <c r="G44">
        <v>4.0377267523845507E-3</v>
      </c>
      <c r="I44">
        <v>0.92758952181185372</v>
      </c>
      <c r="J44">
        <v>4.3092079243244985E-2</v>
      </c>
      <c r="L44">
        <v>0.99469769307810452</v>
      </c>
      <c r="M44">
        <v>4.0377267523845507E-3</v>
      </c>
    </row>
    <row r="46" spans="2:13" x14ac:dyDescent="0.4">
      <c r="B46" t="s">
        <v>10</v>
      </c>
      <c r="F46" t="s">
        <v>10</v>
      </c>
      <c r="I46" t="s">
        <v>10</v>
      </c>
      <c r="L46" t="s">
        <v>10</v>
      </c>
    </row>
    <row r="47" spans="2:13" x14ac:dyDescent="0.4">
      <c r="B47">
        <f>LN(B48)</f>
        <v>-0.39997033676654747</v>
      </c>
      <c r="F47">
        <f>LN(F48)</f>
        <v>-5.0180747410972996E-2</v>
      </c>
      <c r="I47">
        <f>LN(I48)</f>
        <v>-0.17154372174857116</v>
      </c>
      <c r="L47">
        <f>LN(L48)</f>
        <v>-5.0180747410972996E-2</v>
      </c>
    </row>
    <row r="48" spans="2:13" x14ac:dyDescent="0.4">
      <c r="B48">
        <f t="array" ref="B48:C50">LOGEST(D31:D37,LN(B31:B37),TRUE,TRUE)</f>
        <v>0.67033993019056548</v>
      </c>
      <c r="C48">
        <v>505.74352064778265</v>
      </c>
      <c r="F48">
        <f t="array" ref="F48:G50">LOGEST(G31:G37,LN(B31:B37),TRUE,TRUE)</f>
        <v>0.9510575077822131</v>
      </c>
      <c r="G48">
        <v>1785.671525508503</v>
      </c>
      <c r="I48">
        <f t="array" ref="I48:J50">LOGEST(J31:J37,LN(B31:B37),TRUE,TRUE)</f>
        <v>0.84236343761246035</v>
      </c>
      <c r="J48">
        <v>657.05749141387628</v>
      </c>
      <c r="L48">
        <f t="array" ref="L48:M50">LOGEST(M31:M37,LN(B31:B37),TRUE,TRUE)</f>
        <v>0.9510575077822131</v>
      </c>
      <c r="M48">
        <v>1785.671525508503</v>
      </c>
    </row>
    <row r="49" spans="2:13" x14ac:dyDescent="0.4">
      <c r="B49">
        <v>2.5071030680326276E-2</v>
      </c>
      <c r="C49">
        <v>7.9825985437401034E-2</v>
      </c>
      <c r="F49">
        <v>5.1952233808116527E-3</v>
      </c>
      <c r="G49">
        <v>1.654155472220575E-2</v>
      </c>
      <c r="I49">
        <v>2.4925858327934612E-2</v>
      </c>
      <c r="J49">
        <v>7.9363757687944209E-2</v>
      </c>
      <c r="L49">
        <v>5.1952233808116527E-3</v>
      </c>
      <c r="M49">
        <v>1.654155472220575E-2</v>
      </c>
    </row>
    <row r="50" spans="2:13" x14ac:dyDescent="0.4">
      <c r="B50">
        <v>0.98073319556846417</v>
      </c>
      <c r="C50">
        <v>5.5728222536762864E-2</v>
      </c>
      <c r="F50">
        <v>0.9491335387827774</v>
      </c>
      <c r="G50">
        <v>1.1548012061636449E-2</v>
      </c>
      <c r="I50">
        <v>0.90451475866210718</v>
      </c>
      <c r="J50">
        <v>5.5405531488938634E-2</v>
      </c>
      <c r="L50">
        <v>0.9491335387827774</v>
      </c>
      <c r="M50">
        <v>1.1548012061636449E-2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Schoop, Julius M.</dc:creator>
  <cp:lastModifiedBy>Schoop, Julius M.</cp:lastModifiedBy>
  <dcterms:created xsi:type="dcterms:W3CDTF">2015-06-05T18:17:20Z</dcterms:created>
  <dcterms:modified xsi:type="dcterms:W3CDTF">2022-09-20T19:25:39Z</dcterms:modified>
</cp:coreProperties>
</file>