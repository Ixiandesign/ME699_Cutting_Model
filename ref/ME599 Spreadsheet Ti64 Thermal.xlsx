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y-my.sharepoint.com/personal/ktma239_uky_edu/Documents/Desktop/Code/ME699_Cutting_Model/ref/"/>
    </mc:Choice>
  </mc:AlternateContent>
  <xr:revisionPtr revIDLastSave="585" documentId="11_62F0CB17BD813DFD96FAD9D2497BE2F4EB7AA75A" xr6:coauthVersionLast="47" xr6:coauthVersionMax="47" xr10:uidLastSave="{0524C0B9-A2A0-4ECA-B44C-93780BF33B72}"/>
  <bookViews>
    <workbookView xWindow="-16305" yWindow="-7140" windowWidth="16410" windowHeight="14145" firstSheet="2" activeTab="3" xr2:uid="{00000000-000D-0000-FFFF-FFFF00000000}"/>
  </bookViews>
  <sheets>
    <sheet name="OLD APPROACH" sheetId="11" r:id="rId1"/>
    <sheet name="NEW APPROACH (h250)" sheetId="14" r:id="rId2"/>
    <sheet name="NEW APPROACH (h50)" sheetId="13" r:id="rId3"/>
    <sheet name="NEW APPROACH (h10)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2" l="1"/>
  <c r="AB23" i="12"/>
  <c r="Z23" i="12"/>
  <c r="Y23" i="12"/>
  <c r="X23" i="12"/>
  <c r="S23" i="12"/>
  <c r="N23" i="12"/>
  <c r="C10" i="12"/>
  <c r="A72" i="14" l="1"/>
  <c r="BC72" i="14" s="1"/>
  <c r="A71" i="14"/>
  <c r="BC71" i="14" s="1"/>
  <c r="BC70" i="14"/>
  <c r="A70" i="14"/>
  <c r="BC69" i="14"/>
  <c r="A69" i="14"/>
  <c r="A68" i="14"/>
  <c r="BC68" i="14" s="1"/>
  <c r="BC67" i="14"/>
  <c r="A67" i="14"/>
  <c r="BC66" i="14"/>
  <c r="A66" i="14"/>
  <c r="A65" i="14"/>
  <c r="BC65" i="14" s="1"/>
  <c r="BC64" i="14"/>
  <c r="A64" i="14"/>
  <c r="BC63" i="14"/>
  <c r="A63" i="14"/>
  <c r="A62" i="14"/>
  <c r="BC62" i="14" s="1"/>
  <c r="A61" i="14"/>
  <c r="BC61" i="14" s="1"/>
  <c r="BC60" i="14"/>
  <c r="A60" i="14"/>
  <c r="A59" i="14"/>
  <c r="BC59" i="14" s="1"/>
  <c r="A58" i="14"/>
  <c r="BC58" i="14" s="1"/>
  <c r="BC57" i="14"/>
  <c r="A57" i="14"/>
  <c r="A56" i="14"/>
  <c r="BC56" i="14" s="1"/>
  <c r="A55" i="14"/>
  <c r="BC55" i="14" s="1"/>
  <c r="BC54" i="14"/>
  <c r="A54" i="14"/>
  <c r="BC53" i="14"/>
  <c r="A53" i="14"/>
  <c r="A52" i="14"/>
  <c r="BC52" i="14" s="1"/>
  <c r="A51" i="14"/>
  <c r="BC51" i="14" s="1"/>
  <c r="BC50" i="14"/>
  <c r="A50" i="14"/>
  <c r="A49" i="14"/>
  <c r="BC49" i="14" s="1"/>
  <c r="A48" i="14"/>
  <c r="BC48" i="14" s="1"/>
  <c r="BC47" i="14"/>
  <c r="A47" i="14"/>
  <c r="BC46" i="14"/>
  <c r="A46" i="14"/>
  <c r="A45" i="14"/>
  <c r="BC45" i="14" s="1"/>
  <c r="BC44" i="14"/>
  <c r="A44" i="14"/>
  <c r="BC43" i="14"/>
  <c r="A43" i="14"/>
  <c r="A42" i="14"/>
  <c r="BC42" i="14" s="1"/>
  <c r="BC41" i="14"/>
  <c r="A41" i="14"/>
  <c r="BC40" i="14"/>
  <c r="A40" i="14"/>
  <c r="A39" i="14"/>
  <c r="BC39" i="14" s="1"/>
  <c r="BC38" i="14"/>
  <c r="A38" i="14"/>
  <c r="A37" i="14"/>
  <c r="BC37" i="14" s="1"/>
  <c r="A36" i="14"/>
  <c r="BC36" i="14" s="1"/>
  <c r="BC35" i="14"/>
  <c r="A35" i="14"/>
  <c r="A34" i="14"/>
  <c r="BC34" i="14" s="1"/>
  <c r="BC33" i="14"/>
  <c r="A33" i="14"/>
  <c r="A32" i="14"/>
  <c r="BC32" i="14" s="1"/>
  <c r="BC31" i="14"/>
  <c r="A31" i="14"/>
  <c r="A30" i="14"/>
  <c r="BC30" i="14" s="1"/>
  <c r="A29" i="14"/>
  <c r="BC29" i="14" s="1"/>
  <c r="BC28" i="14"/>
  <c r="A28" i="14"/>
  <c r="BC27" i="14"/>
  <c r="A27" i="14"/>
  <c r="A26" i="14"/>
  <c r="BC26" i="14" s="1"/>
  <c r="BC25" i="14"/>
  <c r="A25" i="14"/>
  <c r="A24" i="14"/>
  <c r="BC24" i="14" s="1"/>
  <c r="E23" i="14"/>
  <c r="C23" i="14"/>
  <c r="D23" i="14" s="1"/>
  <c r="A23" i="14"/>
  <c r="BC23" i="14" s="1"/>
  <c r="D17" i="14"/>
  <c r="C17" i="14"/>
  <c r="G16" i="14"/>
  <c r="H16" i="14" s="1"/>
  <c r="E16" i="14"/>
  <c r="F16" i="14" s="1"/>
  <c r="D16" i="14"/>
  <c r="C16" i="14"/>
  <c r="C14" i="14"/>
  <c r="C12" i="14" s="1"/>
  <c r="C13" i="14"/>
  <c r="C11" i="14"/>
  <c r="E11" i="14" s="1"/>
  <c r="L10" i="14"/>
  <c r="K10" i="14"/>
  <c r="J10" i="14"/>
  <c r="K9" i="14"/>
  <c r="J9" i="14"/>
  <c r="L9" i="14" s="1"/>
  <c r="E9" i="14"/>
  <c r="L8" i="14"/>
  <c r="J8" i="14"/>
  <c r="K8" i="14" s="1"/>
  <c r="L7" i="14"/>
  <c r="K7" i="14"/>
  <c r="J7" i="14"/>
  <c r="E7" i="14"/>
  <c r="K6" i="14"/>
  <c r="J6" i="14"/>
  <c r="L6" i="14" s="1"/>
  <c r="E6" i="14"/>
  <c r="C8" i="14" s="1"/>
  <c r="E8" i="14" s="1"/>
  <c r="C6" i="14"/>
  <c r="E5" i="14"/>
  <c r="C5" i="14"/>
  <c r="E4" i="14"/>
  <c r="C10" i="14" s="1"/>
  <c r="E10" i="14" s="1"/>
  <c r="F23" i="14" s="1"/>
  <c r="J23" i="14" s="1"/>
  <c r="C4" i="14"/>
  <c r="A72" i="13"/>
  <c r="BC72" i="13" s="1"/>
  <c r="BC71" i="13"/>
  <c r="A71" i="13"/>
  <c r="A70" i="13"/>
  <c r="BC70" i="13" s="1"/>
  <c r="BC69" i="13"/>
  <c r="A69" i="13"/>
  <c r="BC68" i="13"/>
  <c r="A68" i="13"/>
  <c r="A67" i="13"/>
  <c r="BC67" i="13" s="1"/>
  <c r="A66" i="13"/>
  <c r="BC66" i="13" s="1"/>
  <c r="A65" i="13"/>
  <c r="BC65" i="13" s="1"/>
  <c r="A64" i="13"/>
  <c r="BC64" i="13" s="1"/>
  <c r="BC63" i="13"/>
  <c r="A63" i="13"/>
  <c r="BC62" i="13"/>
  <c r="A62" i="13"/>
  <c r="BC61" i="13"/>
  <c r="A61" i="13"/>
  <c r="A60" i="13"/>
  <c r="BC60" i="13" s="1"/>
  <c r="A59" i="13"/>
  <c r="BC59" i="13" s="1"/>
  <c r="A58" i="13"/>
  <c r="BC58" i="13" s="1"/>
  <c r="A57" i="13"/>
  <c r="BC57" i="13" s="1"/>
  <c r="BC56" i="13"/>
  <c r="A56" i="13"/>
  <c r="A55" i="13"/>
  <c r="BC55" i="13" s="1"/>
  <c r="A54" i="13"/>
  <c r="BC54" i="13" s="1"/>
  <c r="A53" i="13"/>
  <c r="BC53" i="13" s="1"/>
  <c r="BC52" i="13"/>
  <c r="A52" i="13"/>
  <c r="A51" i="13"/>
  <c r="BC51" i="13" s="1"/>
  <c r="A50" i="13"/>
  <c r="BC50" i="13" s="1"/>
  <c r="A49" i="13"/>
  <c r="BC49" i="13" s="1"/>
  <c r="A48" i="13"/>
  <c r="BC48" i="13" s="1"/>
  <c r="BC47" i="13"/>
  <c r="A47" i="13"/>
  <c r="A46" i="13"/>
  <c r="BC46" i="13" s="1"/>
  <c r="A45" i="13"/>
  <c r="BC45" i="13" s="1"/>
  <c r="BC44" i="13"/>
  <c r="A44" i="13"/>
  <c r="A43" i="13"/>
  <c r="BC43" i="13" s="1"/>
  <c r="A42" i="13"/>
  <c r="BC42" i="13" s="1"/>
  <c r="BC41" i="13"/>
  <c r="A41" i="13"/>
  <c r="A40" i="13"/>
  <c r="BC40" i="13" s="1"/>
  <c r="A39" i="13"/>
  <c r="BC39" i="13" s="1"/>
  <c r="BC38" i="13"/>
  <c r="A38" i="13"/>
  <c r="BC37" i="13"/>
  <c r="A37" i="13"/>
  <c r="BC36" i="13"/>
  <c r="A36" i="13"/>
  <c r="BC35" i="13"/>
  <c r="A35" i="13"/>
  <c r="BC34" i="13"/>
  <c r="A34" i="13"/>
  <c r="BC33" i="13"/>
  <c r="A33" i="13"/>
  <c r="BC32" i="13"/>
  <c r="A32" i="13"/>
  <c r="BC31" i="13"/>
  <c r="A31" i="13"/>
  <c r="BC30" i="13"/>
  <c r="A30" i="13"/>
  <c r="A29" i="13"/>
  <c r="BC29" i="13" s="1"/>
  <c r="BC28" i="13"/>
  <c r="A28" i="13"/>
  <c r="A27" i="13"/>
  <c r="BC27" i="13" s="1"/>
  <c r="BC26" i="13"/>
  <c r="A26" i="13"/>
  <c r="A25" i="13"/>
  <c r="BC25" i="13" s="1"/>
  <c r="A24" i="13"/>
  <c r="BC24" i="13" s="1"/>
  <c r="C23" i="13"/>
  <c r="E23" i="13" s="1"/>
  <c r="A23" i="13"/>
  <c r="BC23" i="13" s="1"/>
  <c r="D17" i="13"/>
  <c r="C17" i="13"/>
  <c r="G16" i="13"/>
  <c r="H16" i="13" s="1"/>
  <c r="D16" i="13"/>
  <c r="C16" i="13"/>
  <c r="C14" i="13"/>
  <c r="C13" i="13"/>
  <c r="C12" i="13" s="1"/>
  <c r="C11" i="13"/>
  <c r="E11" i="13" s="1"/>
  <c r="L10" i="13"/>
  <c r="K10" i="13"/>
  <c r="J10" i="13"/>
  <c r="K9" i="13"/>
  <c r="J9" i="13"/>
  <c r="L9" i="13" s="1"/>
  <c r="E9" i="13"/>
  <c r="J8" i="13"/>
  <c r="L8" i="13" s="1"/>
  <c r="C8" i="13"/>
  <c r="E8" i="13" s="1"/>
  <c r="L7" i="13"/>
  <c r="K7" i="13"/>
  <c r="J7" i="13"/>
  <c r="E7" i="13"/>
  <c r="L6" i="13"/>
  <c r="K6" i="13"/>
  <c r="J6" i="13"/>
  <c r="E6" i="13"/>
  <c r="C6" i="13"/>
  <c r="E5" i="13"/>
  <c r="C5" i="13"/>
  <c r="C4" i="13"/>
  <c r="E4" i="13" s="1"/>
  <c r="C10" i="13" s="1"/>
  <c r="E10" i="13" s="1"/>
  <c r="C14" i="12"/>
  <c r="C8" i="12"/>
  <c r="C6" i="12"/>
  <c r="C16" i="12"/>
  <c r="C17" i="12"/>
  <c r="E16" i="12"/>
  <c r="F16" i="12" s="1"/>
  <c r="C11" i="12"/>
  <c r="C5" i="12"/>
  <c r="D17" i="12"/>
  <c r="D16" i="12"/>
  <c r="G16" i="12"/>
  <c r="H16" i="12" s="1"/>
  <c r="G23" i="14" l="1"/>
  <c r="H23" i="14" s="1"/>
  <c r="I23" i="14" s="1"/>
  <c r="N23" i="14" s="1"/>
  <c r="K8" i="13"/>
  <c r="D23" i="13"/>
  <c r="F23" i="13" s="1"/>
  <c r="E16" i="13"/>
  <c r="F16" i="13" s="1"/>
  <c r="C13" i="12"/>
  <c r="C12" i="12" s="1"/>
  <c r="U23" i="14" l="1"/>
  <c r="T23" i="14"/>
  <c r="BA12" i="14"/>
  <c r="BD23" i="14"/>
  <c r="K23" i="14"/>
  <c r="L23" i="14" s="1"/>
  <c r="M23" i="14" s="1"/>
  <c r="J23" i="13"/>
  <c r="G23" i="13"/>
  <c r="H23" i="13" s="1"/>
  <c r="I23" i="13" s="1"/>
  <c r="E6" i="12"/>
  <c r="E7" i="12"/>
  <c r="E9" i="12"/>
  <c r="C23" i="12"/>
  <c r="E4" i="12"/>
  <c r="A72" i="12"/>
  <c r="BC72" i="12" s="1"/>
  <c r="A71" i="12"/>
  <c r="BC71" i="12" s="1"/>
  <c r="A70" i="12"/>
  <c r="BC70" i="12" s="1"/>
  <c r="A69" i="12"/>
  <c r="BC69" i="12" s="1"/>
  <c r="A68" i="12"/>
  <c r="BC68" i="12" s="1"/>
  <c r="A67" i="12"/>
  <c r="BC67" i="12" s="1"/>
  <c r="A66" i="12"/>
  <c r="BC66" i="12" s="1"/>
  <c r="A65" i="12"/>
  <c r="BC65" i="12" s="1"/>
  <c r="A64" i="12"/>
  <c r="BC64" i="12" s="1"/>
  <c r="A63" i="12"/>
  <c r="BC63" i="12" s="1"/>
  <c r="A62" i="12"/>
  <c r="BC62" i="12" s="1"/>
  <c r="A61" i="12"/>
  <c r="BC61" i="12" s="1"/>
  <c r="A60" i="12"/>
  <c r="BC60" i="12" s="1"/>
  <c r="A59" i="12"/>
  <c r="BC59" i="12" s="1"/>
  <c r="A58" i="12"/>
  <c r="BC58" i="12" s="1"/>
  <c r="A57" i="12"/>
  <c r="BC57" i="12" s="1"/>
  <c r="A56" i="12"/>
  <c r="BC56" i="12" s="1"/>
  <c r="A55" i="12"/>
  <c r="BC55" i="12" s="1"/>
  <c r="A54" i="12"/>
  <c r="BC54" i="12" s="1"/>
  <c r="A53" i="12"/>
  <c r="BC53" i="12" s="1"/>
  <c r="A52" i="12"/>
  <c r="BC52" i="12" s="1"/>
  <c r="A51" i="12"/>
  <c r="BC51" i="12" s="1"/>
  <c r="A50" i="12"/>
  <c r="BC50" i="12" s="1"/>
  <c r="A49" i="12"/>
  <c r="BC49" i="12" s="1"/>
  <c r="A48" i="12"/>
  <c r="BC48" i="12" s="1"/>
  <c r="A47" i="12"/>
  <c r="BC47" i="12" s="1"/>
  <c r="A46" i="12"/>
  <c r="BC46" i="12" s="1"/>
  <c r="A45" i="12"/>
  <c r="BC45" i="12" s="1"/>
  <c r="A44" i="12"/>
  <c r="BC44" i="12" s="1"/>
  <c r="A43" i="12"/>
  <c r="BC43" i="12" s="1"/>
  <c r="A42" i="12"/>
  <c r="BC42" i="12" s="1"/>
  <c r="A41" i="12"/>
  <c r="BC41" i="12" s="1"/>
  <c r="A40" i="12"/>
  <c r="BC40" i="12" s="1"/>
  <c r="A39" i="12"/>
  <c r="BC39" i="12" s="1"/>
  <c r="A38" i="12"/>
  <c r="BC38" i="12" s="1"/>
  <c r="A37" i="12"/>
  <c r="BC37" i="12" s="1"/>
  <c r="A36" i="12"/>
  <c r="BC36" i="12" s="1"/>
  <c r="A35" i="12"/>
  <c r="BC35" i="12" s="1"/>
  <c r="A34" i="12"/>
  <c r="BC34" i="12" s="1"/>
  <c r="A33" i="12"/>
  <c r="BC33" i="12" s="1"/>
  <c r="A32" i="12"/>
  <c r="BC32" i="12" s="1"/>
  <c r="A31" i="12"/>
  <c r="BC31" i="12" s="1"/>
  <c r="A30" i="12"/>
  <c r="BC30" i="12" s="1"/>
  <c r="A29" i="12"/>
  <c r="BC29" i="12" s="1"/>
  <c r="A28" i="12"/>
  <c r="BC28" i="12" s="1"/>
  <c r="A27" i="12"/>
  <c r="BC27" i="12" s="1"/>
  <c r="A26" i="12"/>
  <c r="BC26" i="12" s="1"/>
  <c r="A25" i="12"/>
  <c r="BC25" i="12" s="1"/>
  <c r="A24" i="12"/>
  <c r="BC24" i="12" s="1"/>
  <c r="A23" i="12"/>
  <c r="BC23" i="12" s="1"/>
  <c r="J10" i="12"/>
  <c r="L10" i="12" s="1"/>
  <c r="J9" i="12"/>
  <c r="K9" i="12" s="1"/>
  <c r="J8" i="12"/>
  <c r="L8" i="12" s="1"/>
  <c r="J7" i="12"/>
  <c r="K7" i="12" s="1"/>
  <c r="J6" i="12"/>
  <c r="L6" i="12" s="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C21" i="11"/>
  <c r="E21" i="11" s="1"/>
  <c r="A21" i="11"/>
  <c r="C12" i="11"/>
  <c r="E11" i="11"/>
  <c r="J10" i="11"/>
  <c r="K10" i="11" s="1"/>
  <c r="J9" i="11"/>
  <c r="K9" i="11" s="1"/>
  <c r="E9" i="11"/>
  <c r="J8" i="11"/>
  <c r="L8" i="11" s="1"/>
  <c r="J7" i="11"/>
  <c r="L7" i="11" s="1"/>
  <c r="E7" i="11"/>
  <c r="J6" i="11"/>
  <c r="K6" i="11" s="1"/>
  <c r="E6" i="11"/>
  <c r="C8" i="11" s="1"/>
  <c r="E8" i="11" s="1"/>
  <c r="E5" i="11"/>
  <c r="E4" i="11"/>
  <c r="E8" i="12"/>
  <c r="V23" i="14" l="1"/>
  <c r="W23" i="14"/>
  <c r="BA13" i="14" s="1"/>
  <c r="P23" i="14"/>
  <c r="O23" i="14"/>
  <c r="Q23" i="14" s="1"/>
  <c r="R23" i="14" s="1"/>
  <c r="S23" i="14" s="1"/>
  <c r="AZ12" i="14"/>
  <c r="K23" i="13"/>
  <c r="L23" i="13" s="1"/>
  <c r="M23" i="13" s="1"/>
  <c r="BD23" i="13"/>
  <c r="N23" i="13"/>
  <c r="E23" i="12"/>
  <c r="D23" i="12"/>
  <c r="L6" i="11"/>
  <c r="L9" i="12"/>
  <c r="K6" i="12"/>
  <c r="E11" i="12"/>
  <c r="L10" i="11"/>
  <c r="C10" i="11"/>
  <c r="E10" i="11" s="1"/>
  <c r="L7" i="12"/>
  <c r="E5" i="12"/>
  <c r="E10" i="12"/>
  <c r="F23" i="12" s="1"/>
  <c r="K8" i="12"/>
  <c r="K10" i="12"/>
  <c r="K8" i="11"/>
  <c r="L9" i="11"/>
  <c r="K7" i="11"/>
  <c r="D21" i="11"/>
  <c r="AD23" i="14" l="1"/>
  <c r="AF23" i="14" s="1"/>
  <c r="AC23" i="14"/>
  <c r="AE23" i="14" s="1"/>
  <c r="AZ13" i="14"/>
  <c r="Y23" i="14"/>
  <c r="X23" i="14"/>
  <c r="Z23" i="14" s="1"/>
  <c r="AA23" i="14" s="1"/>
  <c r="AB23" i="14" s="1"/>
  <c r="U23" i="13"/>
  <c r="W23" i="13" s="1"/>
  <c r="T23" i="13"/>
  <c r="BA12" i="13"/>
  <c r="AZ12" i="13"/>
  <c r="P23" i="13"/>
  <c r="O23" i="13"/>
  <c r="Q23" i="13" s="1"/>
  <c r="R23" i="13" s="1"/>
  <c r="S23" i="13" s="1"/>
  <c r="J23" i="12"/>
  <c r="F21" i="11"/>
  <c r="J21" i="11" s="1"/>
  <c r="AM23" i="14" l="1"/>
  <c r="AL23" i="14"/>
  <c r="AN23" i="14" s="1"/>
  <c r="BA14" i="14"/>
  <c r="AH23" i="14"/>
  <c r="AG23" i="14"/>
  <c r="AZ14" i="14"/>
  <c r="X23" i="13"/>
  <c r="Z23" i="13" s="1"/>
  <c r="AA23" i="13" s="1"/>
  <c r="AB23" i="13" s="1"/>
  <c r="AZ13" i="13"/>
  <c r="Y23" i="13"/>
  <c r="AD23" i="13"/>
  <c r="AC23" i="13"/>
  <c r="AE23" i="13" s="1"/>
  <c r="BA13" i="13"/>
  <c r="V23" i="13"/>
  <c r="G23" i="12"/>
  <c r="H23" i="12" s="1"/>
  <c r="G21" i="11"/>
  <c r="H21" i="11" s="1"/>
  <c r="I21" i="11" s="1"/>
  <c r="K21" i="11" s="1"/>
  <c r="L21" i="11" s="1"/>
  <c r="M21" i="11" s="1"/>
  <c r="AI23" i="14" l="1"/>
  <c r="AJ23" i="14" s="1"/>
  <c r="AK23" i="14" s="1"/>
  <c r="AZ15" i="14"/>
  <c r="AQ23" i="14"/>
  <c r="AP23" i="14"/>
  <c r="AR23" i="14" s="1"/>
  <c r="AS23" i="14" s="1"/>
  <c r="AT23" i="14" s="1"/>
  <c r="AO23" i="14"/>
  <c r="AF23" i="13"/>
  <c r="AL23" i="13" s="1"/>
  <c r="AZ14" i="13"/>
  <c r="AH23" i="13"/>
  <c r="AG23" i="13"/>
  <c r="AI23" i="13" s="1"/>
  <c r="AJ23" i="13" s="1"/>
  <c r="AK23" i="13" s="1"/>
  <c r="T23" i="12"/>
  <c r="N21" i="11"/>
  <c r="T21" i="11" s="1"/>
  <c r="P21" i="11"/>
  <c r="O21" i="11"/>
  <c r="AZ12" i="11"/>
  <c r="BA15" i="14" l="1"/>
  <c r="AU23" i="14"/>
  <c r="AV23" i="14"/>
  <c r="AX23" i="14" s="1"/>
  <c r="AZ23" i="14"/>
  <c r="AZ16" i="14"/>
  <c r="AN23" i="13"/>
  <c r="BA14" i="13"/>
  <c r="AM23" i="13"/>
  <c r="AP23" i="13"/>
  <c r="AZ15" i="13"/>
  <c r="AQ23" i="13"/>
  <c r="AO23" i="13"/>
  <c r="BD23" i="12"/>
  <c r="K23" i="12"/>
  <c r="L23" i="12" s="1"/>
  <c r="M23" i="12" s="1"/>
  <c r="P23" i="12" s="1"/>
  <c r="U23" i="12"/>
  <c r="W23" i="12" s="1"/>
  <c r="AC23" i="12" s="1"/>
  <c r="BA12" i="11"/>
  <c r="U21" i="11"/>
  <c r="V21" i="11" s="1"/>
  <c r="Q21" i="11"/>
  <c r="R21" i="11" s="1"/>
  <c r="S21" i="11" s="1"/>
  <c r="X21" i="11" s="1"/>
  <c r="BA12" i="12"/>
  <c r="BA16" i="14" l="1"/>
  <c r="BA23" i="14"/>
  <c r="AW23" i="14"/>
  <c r="AY23" i="14" s="1"/>
  <c r="AV23" i="13"/>
  <c r="AU23" i="13"/>
  <c r="BA15" i="13"/>
  <c r="AR23" i="13"/>
  <c r="AS23" i="13" s="1"/>
  <c r="AT23" i="13" s="1"/>
  <c r="O23" i="12"/>
  <c r="Q23" i="12" s="1"/>
  <c r="R23" i="12" s="1"/>
  <c r="AZ12" i="12"/>
  <c r="Y21" i="11"/>
  <c r="Z21" i="11" s="1"/>
  <c r="AA21" i="11" s="1"/>
  <c r="AB21" i="11" s="1"/>
  <c r="AH21" i="11" s="1"/>
  <c r="W21" i="11"/>
  <c r="BA13" i="11" s="1"/>
  <c r="AZ13" i="11"/>
  <c r="V23" i="12"/>
  <c r="AD23" i="12"/>
  <c r="AF23" i="12" s="1"/>
  <c r="BA14" i="12" s="1"/>
  <c r="BA13" i="12"/>
  <c r="BB23" i="14" l="1"/>
  <c r="BF23" i="14"/>
  <c r="BG23" i="14" s="1"/>
  <c r="AX23" i="13"/>
  <c r="AZ23" i="13"/>
  <c r="AZ16" i="13"/>
  <c r="AW23" i="13"/>
  <c r="AY23" i="13" s="1"/>
  <c r="BA23" i="13"/>
  <c r="BA16" i="13"/>
  <c r="AC21" i="11"/>
  <c r="AD21" i="11"/>
  <c r="AG21" i="11"/>
  <c r="AI21" i="11" s="1"/>
  <c r="AJ21" i="11" s="1"/>
  <c r="AK21" i="11" s="1"/>
  <c r="AP21" i="11" s="1"/>
  <c r="AZ14" i="11"/>
  <c r="AZ13" i="12"/>
  <c r="AE23" i="12"/>
  <c r="AL23" i="12"/>
  <c r="AM23" i="12"/>
  <c r="BE23" i="14" l="1"/>
  <c r="C24" i="14"/>
  <c r="BB23" i="13"/>
  <c r="BF23" i="13"/>
  <c r="BG23" i="13" s="1"/>
  <c r="AE21" i="11"/>
  <c r="AF21" i="11"/>
  <c r="BA14" i="11" s="1"/>
  <c r="AQ21" i="11"/>
  <c r="AR21" i="11" s="1"/>
  <c r="AS21" i="11" s="1"/>
  <c r="AT21" i="11" s="1"/>
  <c r="AZ15" i="11"/>
  <c r="AO23" i="12"/>
  <c r="AU23" i="12" s="1"/>
  <c r="AN23" i="12"/>
  <c r="E24" i="14" l="1"/>
  <c r="D24" i="14"/>
  <c r="BE23" i="13"/>
  <c r="C24" i="13"/>
  <c r="AM21" i="11"/>
  <c r="AL21" i="11"/>
  <c r="AA23" i="12"/>
  <c r="AV23" i="12"/>
  <c r="AW23" i="12" s="1"/>
  <c r="BA15" i="12"/>
  <c r="AZ21" i="11"/>
  <c r="AZ16" i="11"/>
  <c r="F24" i="14" l="1"/>
  <c r="J24" i="14" s="1"/>
  <c r="G24" i="14"/>
  <c r="H24" i="14" s="1"/>
  <c r="I24" i="14" s="1"/>
  <c r="E24" i="13"/>
  <c r="D24" i="13"/>
  <c r="AO21" i="11"/>
  <c r="BA15" i="11" s="1"/>
  <c r="AN21" i="11"/>
  <c r="AZ14" i="12"/>
  <c r="AG23" i="12"/>
  <c r="AH23" i="12"/>
  <c r="AX23" i="12"/>
  <c r="BA16" i="12" s="1"/>
  <c r="K24" i="14" l="1"/>
  <c r="L24" i="14" s="1"/>
  <c r="M24" i="14" s="1"/>
  <c r="BD24" i="14"/>
  <c r="N24" i="14"/>
  <c r="F24" i="13"/>
  <c r="AU21" i="11"/>
  <c r="AV21" i="11"/>
  <c r="AI23" i="12"/>
  <c r="AJ23" i="12" s="1"/>
  <c r="AK23" i="12" s="1"/>
  <c r="AP23" i="12" s="1"/>
  <c r="BA23" i="12"/>
  <c r="U24" i="14" l="1"/>
  <c r="T24" i="14"/>
  <c r="V24" i="14" s="1"/>
  <c r="P24" i="14"/>
  <c r="O24" i="14"/>
  <c r="J24" i="13"/>
  <c r="G24" i="13"/>
  <c r="H24" i="13" s="1"/>
  <c r="I24" i="13" s="1"/>
  <c r="AW21" i="11"/>
  <c r="AY21" i="11" s="1"/>
  <c r="BB21" i="11" s="1"/>
  <c r="C22" i="11" s="1"/>
  <c r="AX21" i="11"/>
  <c r="BA16" i="11" s="1"/>
  <c r="AQ23" i="12"/>
  <c r="AR23" i="12" s="1"/>
  <c r="AS23" i="12" s="1"/>
  <c r="AT23" i="12" s="1"/>
  <c r="AZ15" i="12"/>
  <c r="Q24" i="14" l="1"/>
  <c r="R24" i="14" s="1"/>
  <c r="S24" i="14" s="1"/>
  <c r="W24" i="14"/>
  <c r="BD24" i="13"/>
  <c r="K24" i="13"/>
  <c r="L24" i="13" s="1"/>
  <c r="M24" i="13" s="1"/>
  <c r="N24" i="13"/>
  <c r="BA21" i="11"/>
  <c r="AY23" i="12"/>
  <c r="BF23" i="12" s="1"/>
  <c r="BG23" i="12" s="1"/>
  <c r="AZ16" i="12"/>
  <c r="AZ23" i="12"/>
  <c r="AD24" i="14" l="1"/>
  <c r="AC24" i="14"/>
  <c r="X24" i="14"/>
  <c r="Y24" i="14"/>
  <c r="T24" i="13"/>
  <c r="U24" i="13"/>
  <c r="W24" i="13" s="1"/>
  <c r="O24" i="13"/>
  <c r="P24" i="13"/>
  <c r="BB23" i="12"/>
  <c r="AF24" i="14" l="1"/>
  <c r="Z24" i="14"/>
  <c r="AA24" i="14" s="1"/>
  <c r="AB24" i="14" s="1"/>
  <c r="AM24" i="14"/>
  <c r="AL24" i="14"/>
  <c r="AN24" i="14" s="1"/>
  <c r="AE24" i="14"/>
  <c r="Q24" i="13"/>
  <c r="R24" i="13" s="1"/>
  <c r="S24" i="13" s="1"/>
  <c r="AD24" i="13"/>
  <c r="AC24" i="13"/>
  <c r="V24" i="13"/>
  <c r="C24" i="12"/>
  <c r="D24" i="12" s="1"/>
  <c r="BE23" i="12"/>
  <c r="AH24" i="14" l="1"/>
  <c r="AG24" i="14"/>
  <c r="AO24" i="14"/>
  <c r="AF24" i="13"/>
  <c r="Y24" i="13"/>
  <c r="X24" i="13"/>
  <c r="Z24" i="13" s="1"/>
  <c r="AA24" i="13" s="1"/>
  <c r="AB24" i="13" s="1"/>
  <c r="AE24" i="13"/>
  <c r="AL24" i="13"/>
  <c r="AM24" i="13"/>
  <c r="AO24" i="13" s="1"/>
  <c r="E24" i="12"/>
  <c r="F24" i="12" s="1"/>
  <c r="J24" i="12" s="1"/>
  <c r="AV24" i="14" l="1"/>
  <c r="AU24" i="14"/>
  <c r="AW24" i="14" s="1"/>
  <c r="AI24" i="14"/>
  <c r="AJ24" i="14" s="1"/>
  <c r="AK24" i="14" s="1"/>
  <c r="AV24" i="13"/>
  <c r="AU24" i="13"/>
  <c r="AW24" i="13" s="1"/>
  <c r="AN24" i="13"/>
  <c r="AG24" i="13"/>
  <c r="AH24" i="13"/>
  <c r="G24" i="12"/>
  <c r="H24" i="12" s="1"/>
  <c r="I24" i="12" s="1"/>
  <c r="K24" i="12" s="1"/>
  <c r="L24" i="12" s="1"/>
  <c r="M24" i="12" s="1"/>
  <c r="P24" i="12" s="1"/>
  <c r="AX24" i="14" l="1"/>
  <c r="BA24" i="14" s="1"/>
  <c r="AP24" i="14"/>
  <c r="AQ24" i="14"/>
  <c r="AI24" i="13"/>
  <c r="AJ24" i="13" s="1"/>
  <c r="AK24" i="13" s="1"/>
  <c r="AX24" i="13"/>
  <c r="BA24" i="13" s="1"/>
  <c r="O24" i="12"/>
  <c r="Q24" i="12" s="1"/>
  <c r="R24" i="12" s="1"/>
  <c r="S24" i="12" s="1"/>
  <c r="X24" i="12" s="1"/>
  <c r="BD24" i="12"/>
  <c r="N24" i="12"/>
  <c r="U24" i="12" s="1"/>
  <c r="AR24" i="14" l="1"/>
  <c r="AQ24" i="13"/>
  <c r="AP24" i="13"/>
  <c r="AR24" i="13" s="1"/>
  <c r="T24" i="12"/>
  <c r="V24" i="12" s="1"/>
  <c r="Y24" i="12"/>
  <c r="Z24" i="12" s="1"/>
  <c r="AA24" i="12" s="1"/>
  <c r="AB24" i="12" s="1"/>
  <c r="AH24" i="12" s="1"/>
  <c r="AS24" i="14" l="1"/>
  <c r="AT24" i="14" s="1"/>
  <c r="AZ24" i="14" s="1"/>
  <c r="AY24" i="14"/>
  <c r="AS24" i="13"/>
  <c r="AT24" i="13" s="1"/>
  <c r="AZ24" i="13" s="1"/>
  <c r="AY24" i="13"/>
  <c r="W24" i="12"/>
  <c r="AD24" i="12" s="1"/>
  <c r="AG24" i="12"/>
  <c r="AI24" i="12" s="1"/>
  <c r="AJ24" i="12" s="1"/>
  <c r="AK24" i="12" s="1"/>
  <c r="AP24" i="12" s="1"/>
  <c r="BB24" i="14" l="1"/>
  <c r="BF24" i="14"/>
  <c r="BG24" i="14" s="1"/>
  <c r="BB24" i="13"/>
  <c r="BF24" i="13"/>
  <c r="BG24" i="13" s="1"/>
  <c r="AC24" i="12"/>
  <c r="AE24" i="12" s="1"/>
  <c r="AQ24" i="12"/>
  <c r="AR24" i="12" s="1"/>
  <c r="AS24" i="12" s="1"/>
  <c r="AT24" i="12" s="1"/>
  <c r="BE24" i="14" l="1"/>
  <c r="C25" i="14"/>
  <c r="C25" i="13"/>
  <c r="BE24" i="13"/>
  <c r="AF24" i="12"/>
  <c r="AL24" i="12" s="1"/>
  <c r="E25" i="14" l="1"/>
  <c r="D25" i="14"/>
  <c r="D25" i="13"/>
  <c r="E25" i="13"/>
  <c r="F25" i="13" s="1"/>
  <c r="AM24" i="12"/>
  <c r="AO24" i="12" s="1"/>
  <c r="AU24" i="12" s="1"/>
  <c r="F25" i="14" l="1"/>
  <c r="J25" i="13"/>
  <c r="G25" i="13"/>
  <c r="H25" i="13" s="1"/>
  <c r="I25" i="13" s="1"/>
  <c r="AN24" i="12"/>
  <c r="AV24" i="12"/>
  <c r="AX24" i="12" s="1"/>
  <c r="BA24" i="12" s="1"/>
  <c r="J25" i="14" l="1"/>
  <c r="G25" i="14"/>
  <c r="H25" i="14" s="1"/>
  <c r="I25" i="14" s="1"/>
  <c r="BD25" i="13"/>
  <c r="K25" i="13"/>
  <c r="L25" i="13" s="1"/>
  <c r="M25" i="13" s="1"/>
  <c r="N25" i="13"/>
  <c r="AW24" i="12"/>
  <c r="AY24" i="12" s="1"/>
  <c r="BF24" i="12" s="1"/>
  <c r="BG24" i="12" s="1"/>
  <c r="AZ24" i="12"/>
  <c r="BD25" i="14" l="1"/>
  <c r="K25" i="14"/>
  <c r="L25" i="14" s="1"/>
  <c r="M25" i="14" s="1"/>
  <c r="N25" i="14"/>
  <c r="P25" i="13"/>
  <c r="O25" i="13"/>
  <c r="Q25" i="13" s="1"/>
  <c r="R25" i="13" s="1"/>
  <c r="S25" i="13" s="1"/>
  <c r="U25" i="13"/>
  <c r="T25" i="13"/>
  <c r="BB24" i="12"/>
  <c r="C25" i="12" s="1"/>
  <c r="D25" i="12" s="1"/>
  <c r="T25" i="14" l="1"/>
  <c r="U25" i="14"/>
  <c r="W25" i="14" s="1"/>
  <c r="P25" i="14"/>
  <c r="O25" i="14"/>
  <c r="V25" i="13"/>
  <c r="W25" i="13"/>
  <c r="Y25" i="13"/>
  <c r="X25" i="13"/>
  <c r="BE24" i="12"/>
  <c r="E25" i="12"/>
  <c r="F25" i="12" l="1"/>
  <c r="J25" i="12" s="1"/>
  <c r="Q25" i="14"/>
  <c r="R25" i="14" s="1"/>
  <c r="S25" i="14" s="1"/>
  <c r="V25" i="14"/>
  <c r="Y25" i="14"/>
  <c r="X25" i="14"/>
  <c r="Z25" i="14" s="1"/>
  <c r="AA25" i="14" s="1"/>
  <c r="AB25" i="14" s="1"/>
  <c r="AD25" i="14"/>
  <c r="AF25" i="14" s="1"/>
  <c r="AC25" i="14"/>
  <c r="AE25" i="14" s="1"/>
  <c r="AD25" i="13"/>
  <c r="AC25" i="13"/>
  <c r="AE25" i="13" s="1"/>
  <c r="Z25" i="13"/>
  <c r="AA25" i="13" s="1"/>
  <c r="AB25" i="13" s="1"/>
  <c r="G25" i="12" l="1"/>
  <c r="H25" i="12" s="1"/>
  <c r="I25" i="12" s="1"/>
  <c r="BD25" i="12" s="1"/>
  <c r="AL25" i="14"/>
  <c r="AM25" i="14"/>
  <c r="AO25" i="14" s="1"/>
  <c r="AH25" i="14"/>
  <c r="AG25" i="14"/>
  <c r="AF25" i="13"/>
  <c r="AH25" i="13"/>
  <c r="AG25" i="13"/>
  <c r="AI25" i="13" s="1"/>
  <c r="AJ25" i="13" s="1"/>
  <c r="AK25" i="13" s="1"/>
  <c r="K25" i="12" l="1"/>
  <c r="L25" i="12" s="1"/>
  <c r="M25" i="12" s="1"/>
  <c r="P25" i="12" s="1"/>
  <c r="N25" i="12"/>
  <c r="T25" i="12" s="1"/>
  <c r="AN25" i="14"/>
  <c r="AI25" i="14"/>
  <c r="AJ25" i="14" s="1"/>
  <c r="AK25" i="14" s="1"/>
  <c r="AV25" i="14"/>
  <c r="AU25" i="14"/>
  <c r="AW25" i="14" s="1"/>
  <c r="AQ25" i="14"/>
  <c r="AP25" i="14"/>
  <c r="AR25" i="14" s="1"/>
  <c r="AS25" i="14" s="1"/>
  <c r="AT25" i="14" s="1"/>
  <c r="AZ25" i="14" s="1"/>
  <c r="AQ25" i="13"/>
  <c r="AP25" i="13"/>
  <c r="AR25" i="13" s="1"/>
  <c r="AS25" i="13" s="1"/>
  <c r="AT25" i="13" s="1"/>
  <c r="AZ25" i="13" s="1"/>
  <c r="AM25" i="13"/>
  <c r="AO25" i="13" s="1"/>
  <c r="AL25" i="13"/>
  <c r="O25" i="12" l="1"/>
  <c r="Q25" i="12" s="1"/>
  <c r="R25" i="12" s="1"/>
  <c r="S25" i="12" s="1"/>
  <c r="X25" i="12" s="1"/>
  <c r="U25" i="12"/>
  <c r="V25" i="12" s="1"/>
  <c r="AY25" i="14"/>
  <c r="AX25" i="14"/>
  <c r="BA25" i="14" s="1"/>
  <c r="AV25" i="13"/>
  <c r="AU25" i="13"/>
  <c r="AW25" i="13" s="1"/>
  <c r="AY25" i="13" s="1"/>
  <c r="AN25" i="13"/>
  <c r="W25" i="12" l="1"/>
  <c r="AD25" i="12" s="1"/>
  <c r="BB25" i="14"/>
  <c r="BF25" i="14"/>
  <c r="BG25" i="14" s="1"/>
  <c r="BB25" i="13"/>
  <c r="BF25" i="13"/>
  <c r="BG25" i="13" s="1"/>
  <c r="AX25" i="13"/>
  <c r="BA25" i="13" s="1"/>
  <c r="Y25" i="12"/>
  <c r="Z25" i="12" s="1"/>
  <c r="AA25" i="12" s="1"/>
  <c r="AB25" i="12" s="1"/>
  <c r="AH25" i="12" s="1"/>
  <c r="AC25" i="12" l="1"/>
  <c r="AF25" i="12" s="1"/>
  <c r="AM25" i="12" s="1"/>
  <c r="C26" i="14"/>
  <c r="BE25" i="14"/>
  <c r="BE25" i="13"/>
  <c r="C26" i="13"/>
  <c r="AG25" i="12"/>
  <c r="AI25" i="12" s="1"/>
  <c r="AJ25" i="12" s="1"/>
  <c r="AK25" i="12" s="1"/>
  <c r="AL25" i="12" l="1"/>
  <c r="AO25" i="12" s="1"/>
  <c r="AU25" i="12" s="1"/>
  <c r="AE25" i="12"/>
  <c r="D26" i="14"/>
  <c r="E26" i="14"/>
  <c r="E26" i="13"/>
  <c r="D26" i="13"/>
  <c r="AP25" i="12"/>
  <c r="AQ25" i="12"/>
  <c r="AV25" i="12" l="1"/>
  <c r="AN25" i="12"/>
  <c r="F26" i="14"/>
  <c r="G26" i="14" s="1"/>
  <c r="H26" i="14" s="1"/>
  <c r="I26" i="14" s="1"/>
  <c r="J26" i="14"/>
  <c r="F26" i="13"/>
  <c r="AX25" i="12"/>
  <c r="BA25" i="12" s="1"/>
  <c r="AW25" i="12"/>
  <c r="AR25" i="12"/>
  <c r="BD26" i="14" l="1"/>
  <c r="K26" i="14"/>
  <c r="L26" i="14" s="1"/>
  <c r="M26" i="14" s="1"/>
  <c r="N26" i="14"/>
  <c r="J26" i="13"/>
  <c r="G26" i="13"/>
  <c r="H26" i="13" s="1"/>
  <c r="I26" i="13" s="1"/>
  <c r="AS25" i="12"/>
  <c r="AT25" i="12" s="1"/>
  <c r="AZ25" i="12" s="1"/>
  <c r="AY25" i="12"/>
  <c r="BF25" i="12" s="1"/>
  <c r="BG25" i="12" s="1"/>
  <c r="U26" i="14" l="1"/>
  <c r="T26" i="14"/>
  <c r="P26" i="14"/>
  <c r="O26" i="14"/>
  <c r="Q26" i="14" s="1"/>
  <c r="R26" i="14" s="1"/>
  <c r="S26" i="14" s="1"/>
  <c r="N26" i="13"/>
  <c r="K26" i="13"/>
  <c r="L26" i="13" s="1"/>
  <c r="M26" i="13" s="1"/>
  <c r="BD26" i="13"/>
  <c r="BB25" i="12"/>
  <c r="BE25" i="12" s="1"/>
  <c r="V26" i="14" l="1"/>
  <c r="Y26" i="14"/>
  <c r="X26" i="14"/>
  <c r="Z26" i="14" s="1"/>
  <c r="AA26" i="14" s="1"/>
  <c r="AB26" i="14" s="1"/>
  <c r="W26" i="14"/>
  <c r="P26" i="13"/>
  <c r="O26" i="13"/>
  <c r="U26" i="13"/>
  <c r="T26" i="13"/>
  <c r="V26" i="13" s="1"/>
  <c r="C26" i="12"/>
  <c r="D26" i="12" s="1"/>
  <c r="AH26" i="14" l="1"/>
  <c r="AG26" i="14"/>
  <c r="AC26" i="14"/>
  <c r="AD26" i="14"/>
  <c r="Q26" i="13"/>
  <c r="R26" i="13" s="1"/>
  <c r="S26" i="13" s="1"/>
  <c r="X26" i="13" s="1"/>
  <c r="W26" i="13"/>
  <c r="E26" i="12"/>
  <c r="F26" i="12" s="1"/>
  <c r="G26" i="12" s="1"/>
  <c r="H26" i="12" s="1"/>
  <c r="I26" i="12" s="1"/>
  <c r="AE26" i="14" l="1"/>
  <c r="AF26" i="14"/>
  <c r="AI26" i="14"/>
  <c r="AJ26" i="14" s="1"/>
  <c r="AK26" i="14" s="1"/>
  <c r="Y26" i="13"/>
  <c r="Z26" i="13" s="1"/>
  <c r="AA26" i="13" s="1"/>
  <c r="AB26" i="13" s="1"/>
  <c r="AD26" i="13"/>
  <c r="AC26" i="13"/>
  <c r="AE26" i="13" s="1"/>
  <c r="K26" i="12"/>
  <c r="L26" i="12" s="1"/>
  <c r="BD26" i="12"/>
  <c r="J26" i="12"/>
  <c r="N26" i="12" s="1"/>
  <c r="U26" i="12" s="1"/>
  <c r="AQ26" i="14" l="1"/>
  <c r="AP26" i="14"/>
  <c r="AR26" i="14" s="1"/>
  <c r="AS26" i="14" s="1"/>
  <c r="AT26" i="14" s="1"/>
  <c r="AZ26" i="14" s="1"/>
  <c r="AM26" i="14"/>
  <c r="AL26" i="14"/>
  <c r="AN26" i="14" s="1"/>
  <c r="AH26" i="13"/>
  <c r="AG26" i="13"/>
  <c r="AF26" i="13"/>
  <c r="T26" i="12"/>
  <c r="V26" i="12" s="1"/>
  <c r="M26" i="12"/>
  <c r="AO26" i="14" l="1"/>
  <c r="AI26" i="13"/>
  <c r="AJ26" i="13" s="1"/>
  <c r="AK26" i="13" s="1"/>
  <c r="AM26" i="13"/>
  <c r="AL26" i="13"/>
  <c r="AN26" i="13" s="1"/>
  <c r="AP26" i="13"/>
  <c r="AQ26" i="13"/>
  <c r="W26" i="12"/>
  <c r="AC26" i="12" s="1"/>
  <c r="P26" i="12"/>
  <c r="O26" i="12"/>
  <c r="AU26" i="14" l="1"/>
  <c r="AV26" i="14"/>
  <c r="AX26" i="14" s="1"/>
  <c r="BA26" i="14" s="1"/>
  <c r="AR26" i="13"/>
  <c r="AS26" i="13" s="1"/>
  <c r="AT26" i="13" s="1"/>
  <c r="AZ26" i="13" s="1"/>
  <c r="AO26" i="13"/>
  <c r="AD26" i="12"/>
  <c r="AE26" i="12" s="1"/>
  <c r="Q26" i="12"/>
  <c r="R26" i="12" s="1"/>
  <c r="S26" i="12" s="1"/>
  <c r="AW26" i="14" l="1"/>
  <c r="AY26" i="14" s="1"/>
  <c r="AV26" i="13"/>
  <c r="AU26" i="13"/>
  <c r="AW26" i="13" s="1"/>
  <c r="AY26" i="13" s="1"/>
  <c r="AF26" i="12"/>
  <c r="AM26" i="12" s="1"/>
  <c r="X26" i="12"/>
  <c r="Y26" i="12"/>
  <c r="BB26" i="14" l="1"/>
  <c r="BF26" i="14"/>
  <c r="BG26" i="14" s="1"/>
  <c r="BB26" i="13"/>
  <c r="BF26" i="13"/>
  <c r="BG26" i="13" s="1"/>
  <c r="AX26" i="13"/>
  <c r="BA26" i="13" s="1"/>
  <c r="AL26" i="12"/>
  <c r="AN26" i="12" s="1"/>
  <c r="Z26" i="12"/>
  <c r="AA26" i="12" s="1"/>
  <c r="AB26" i="12" s="1"/>
  <c r="AG26" i="12" s="1"/>
  <c r="BE26" i="14" l="1"/>
  <c r="C27" i="14"/>
  <c r="BE26" i="13"/>
  <c r="C27" i="13"/>
  <c r="AO26" i="12"/>
  <c r="AU26" i="12" s="1"/>
  <c r="AH26" i="12"/>
  <c r="AI26" i="12" s="1"/>
  <c r="AJ26" i="12" s="1"/>
  <c r="AK26" i="12" s="1"/>
  <c r="AP26" i="12" s="1"/>
  <c r="E27" i="14" l="1"/>
  <c r="D27" i="14"/>
  <c r="E27" i="13"/>
  <c r="D27" i="13"/>
  <c r="AV26" i="12"/>
  <c r="AX26" i="12" s="1"/>
  <c r="BA26" i="12" s="1"/>
  <c r="AQ26" i="12"/>
  <c r="AR26" i="12" s="1"/>
  <c r="AS26" i="12" s="1"/>
  <c r="AT26" i="12" s="1"/>
  <c r="AZ26" i="12" s="1"/>
  <c r="F27" i="14" l="1"/>
  <c r="F27" i="13"/>
  <c r="AW26" i="12"/>
  <c r="AY26" i="12" s="1"/>
  <c r="J27" i="14" l="1"/>
  <c r="G27" i="14"/>
  <c r="H27" i="14" s="1"/>
  <c r="I27" i="14" s="1"/>
  <c r="J27" i="13"/>
  <c r="G27" i="13"/>
  <c r="H27" i="13" s="1"/>
  <c r="I27" i="13" s="1"/>
  <c r="BB26" i="12"/>
  <c r="C27" i="12" s="1"/>
  <c r="BF26" i="12"/>
  <c r="BG26" i="12" s="1"/>
  <c r="K27" i="14" l="1"/>
  <c r="L27" i="14" s="1"/>
  <c r="M27" i="14" s="1"/>
  <c r="BD27" i="14"/>
  <c r="N27" i="14"/>
  <c r="N27" i="13"/>
  <c r="BD27" i="13"/>
  <c r="K27" i="13"/>
  <c r="L27" i="13" s="1"/>
  <c r="M27" i="13" s="1"/>
  <c r="E27" i="12"/>
  <c r="D27" i="12"/>
  <c r="BE26" i="12"/>
  <c r="U27" i="14" l="1"/>
  <c r="T27" i="14"/>
  <c r="P27" i="14"/>
  <c r="O27" i="14"/>
  <c r="T27" i="13"/>
  <c r="U27" i="13"/>
  <c r="W27" i="13" s="1"/>
  <c r="O27" i="13"/>
  <c r="P27" i="13"/>
  <c r="F27" i="12"/>
  <c r="J27" i="12" s="1"/>
  <c r="V27" i="14" l="1"/>
  <c r="Q27" i="14"/>
  <c r="R27" i="14" s="1"/>
  <c r="S27" i="14" s="1"/>
  <c r="W27" i="14"/>
  <c r="Q27" i="13"/>
  <c r="R27" i="13" s="1"/>
  <c r="S27" i="13" s="1"/>
  <c r="AD27" i="13"/>
  <c r="AC27" i="13"/>
  <c r="AE27" i="13" s="1"/>
  <c r="V27" i="13"/>
  <c r="G27" i="12"/>
  <c r="H27" i="12" s="1"/>
  <c r="I27" i="12" s="1"/>
  <c r="BD27" i="12" s="1"/>
  <c r="AD27" i="14" l="1"/>
  <c r="AC27" i="14"/>
  <c r="AE27" i="14" s="1"/>
  <c r="X27" i="14"/>
  <c r="Y27" i="14"/>
  <c r="AF27" i="13"/>
  <c r="Y27" i="13"/>
  <c r="X27" i="13"/>
  <c r="K27" i="12"/>
  <c r="L27" i="12" s="1"/>
  <c r="M27" i="12" s="1"/>
  <c r="P27" i="12" s="1"/>
  <c r="N27" i="12"/>
  <c r="T27" i="12" s="1"/>
  <c r="Z27" i="14" l="1"/>
  <c r="AA27" i="14" s="1"/>
  <c r="AB27" i="14" s="1"/>
  <c r="AH27" i="14"/>
  <c r="AG27" i="14"/>
  <c r="AI27" i="14" s="1"/>
  <c r="AJ27" i="14" s="1"/>
  <c r="AK27" i="14" s="1"/>
  <c r="AF27" i="14"/>
  <c r="Z27" i="13"/>
  <c r="AA27" i="13" s="1"/>
  <c r="AB27" i="13" s="1"/>
  <c r="AL27" i="13"/>
  <c r="AM27" i="13"/>
  <c r="AO27" i="13" s="1"/>
  <c r="U27" i="12"/>
  <c r="W27" i="12" s="1"/>
  <c r="AC27" i="12" s="1"/>
  <c r="O27" i="12"/>
  <c r="Q27" i="12" s="1"/>
  <c r="R27" i="12" s="1"/>
  <c r="S27" i="12" s="1"/>
  <c r="X27" i="12" s="1"/>
  <c r="AM27" i="14" l="1"/>
  <c r="AL27" i="14"/>
  <c r="AP27" i="14"/>
  <c r="AQ27" i="14"/>
  <c r="AV27" i="13"/>
  <c r="AU27" i="13"/>
  <c r="AW27" i="13" s="1"/>
  <c r="AN27" i="13"/>
  <c r="AG27" i="13"/>
  <c r="AH27" i="13"/>
  <c r="V27" i="12"/>
  <c r="AD27" i="12"/>
  <c r="AE27" i="12" s="1"/>
  <c r="Y27" i="12"/>
  <c r="Z27" i="12" s="1"/>
  <c r="AA27" i="12" s="1"/>
  <c r="AB27" i="12" s="1"/>
  <c r="AN27" i="14" l="1"/>
  <c r="AR27" i="14"/>
  <c r="AS27" i="14" s="1"/>
  <c r="AT27" i="14" s="1"/>
  <c r="AZ27" i="14" s="1"/>
  <c r="AO27" i="14"/>
  <c r="AX27" i="13"/>
  <c r="BA27" i="13" s="1"/>
  <c r="AI27" i="13"/>
  <c r="AJ27" i="13" s="1"/>
  <c r="AK27" i="13" s="1"/>
  <c r="AF27" i="12"/>
  <c r="AL27" i="12" s="1"/>
  <c r="AG27" i="12"/>
  <c r="AH27" i="12"/>
  <c r="AV27" i="14" l="1"/>
  <c r="AU27" i="14"/>
  <c r="AW27" i="14" s="1"/>
  <c r="AY27" i="14" s="1"/>
  <c r="AQ27" i="13"/>
  <c r="AP27" i="13"/>
  <c r="AR27" i="13" s="1"/>
  <c r="AM27" i="12"/>
  <c r="AO27" i="12" s="1"/>
  <c r="AV27" i="12" s="1"/>
  <c r="AI27" i="12"/>
  <c r="AJ27" i="12" s="1"/>
  <c r="AK27" i="12" s="1"/>
  <c r="BF27" i="14" l="1"/>
  <c r="BG27" i="14" s="1"/>
  <c r="AX27" i="14"/>
  <c r="BA27" i="14" s="1"/>
  <c r="BB27" i="14" s="1"/>
  <c r="AS27" i="13"/>
  <c r="AT27" i="13" s="1"/>
  <c r="AZ27" i="13" s="1"/>
  <c r="AY27" i="13"/>
  <c r="AU27" i="12"/>
  <c r="AW27" i="12" s="1"/>
  <c r="AN27" i="12"/>
  <c r="AP27" i="12"/>
  <c r="AQ27" i="12"/>
  <c r="BE27" i="14" l="1"/>
  <c r="C28" i="14"/>
  <c r="BB27" i="13"/>
  <c r="BF27" i="13"/>
  <c r="BG27" i="13" s="1"/>
  <c r="AX27" i="12"/>
  <c r="BA27" i="12" s="1"/>
  <c r="AR27" i="12"/>
  <c r="E28" i="14" l="1"/>
  <c r="D28" i="14"/>
  <c r="C28" i="13"/>
  <c r="BE27" i="13"/>
  <c r="AS27" i="12"/>
  <c r="AT27" i="12" s="1"/>
  <c r="AZ27" i="12" s="1"/>
  <c r="AY27" i="12"/>
  <c r="BF27" i="12" s="1"/>
  <c r="BG27" i="12" s="1"/>
  <c r="F28" i="14" l="1"/>
  <c r="D28" i="13"/>
  <c r="E28" i="13"/>
  <c r="F28" i="13" s="1"/>
  <c r="BB27" i="12"/>
  <c r="BE27" i="12" s="1"/>
  <c r="J28" i="14" l="1"/>
  <c r="G28" i="14"/>
  <c r="H28" i="14" s="1"/>
  <c r="I28" i="14" s="1"/>
  <c r="J28" i="13"/>
  <c r="G28" i="13"/>
  <c r="H28" i="13" s="1"/>
  <c r="I28" i="13" s="1"/>
  <c r="C28" i="12"/>
  <c r="E28" i="12" s="1"/>
  <c r="BD28" i="14" l="1"/>
  <c r="K28" i="14"/>
  <c r="L28" i="14" s="1"/>
  <c r="M28" i="14" s="1"/>
  <c r="N28" i="14"/>
  <c r="BD28" i="13"/>
  <c r="K28" i="13"/>
  <c r="L28" i="13" s="1"/>
  <c r="M28" i="13" s="1"/>
  <c r="N28" i="13"/>
  <c r="D28" i="12"/>
  <c r="F28" i="12" s="1"/>
  <c r="J28" i="12" s="1"/>
  <c r="O28" i="14" l="1"/>
  <c r="P28" i="14"/>
  <c r="T28" i="14"/>
  <c r="U28" i="14"/>
  <c r="W28" i="14" s="1"/>
  <c r="U28" i="13"/>
  <c r="T28" i="13"/>
  <c r="V28" i="13" s="1"/>
  <c r="P28" i="13"/>
  <c r="O28" i="13"/>
  <c r="Q28" i="13" s="1"/>
  <c r="R28" i="13" s="1"/>
  <c r="S28" i="13" s="1"/>
  <c r="G28" i="12"/>
  <c r="H28" i="12" s="1"/>
  <c r="I28" i="12" s="1"/>
  <c r="Q28" i="14" l="1"/>
  <c r="R28" i="14" s="1"/>
  <c r="S28" i="14" s="1"/>
  <c r="AD28" i="14"/>
  <c r="AC28" i="14"/>
  <c r="Y28" i="14"/>
  <c r="X28" i="14"/>
  <c r="Z28" i="14" s="1"/>
  <c r="AA28" i="14" s="1"/>
  <c r="AB28" i="14" s="1"/>
  <c r="V28" i="14"/>
  <c r="Y28" i="13"/>
  <c r="X28" i="13"/>
  <c r="W28" i="13"/>
  <c r="K28" i="12"/>
  <c r="L28" i="12" s="1"/>
  <c r="M28" i="12" s="1"/>
  <c r="P28" i="12" s="1"/>
  <c r="BD28" i="12"/>
  <c r="N28" i="12"/>
  <c r="T28" i="12" s="1"/>
  <c r="AE28" i="14" l="1"/>
  <c r="AF28" i="14"/>
  <c r="AL28" i="14"/>
  <c r="AM28" i="14"/>
  <c r="AG28" i="14"/>
  <c r="AH28" i="14"/>
  <c r="AD28" i="13"/>
  <c r="AC28" i="13"/>
  <c r="AE28" i="13" s="1"/>
  <c r="Z28" i="13"/>
  <c r="AA28" i="13" s="1"/>
  <c r="AB28" i="13" s="1"/>
  <c r="O28" i="12"/>
  <c r="Q28" i="12" s="1"/>
  <c r="R28" i="12" s="1"/>
  <c r="S28" i="12" s="1"/>
  <c r="X28" i="12" s="1"/>
  <c r="U28" i="12"/>
  <c r="W28" i="12" s="1"/>
  <c r="AD28" i="12" s="1"/>
  <c r="AO28" i="14" l="1"/>
  <c r="AI28" i="14"/>
  <c r="AJ28" i="14" s="1"/>
  <c r="AK28" i="14" s="1"/>
  <c r="AV28" i="14"/>
  <c r="AU28" i="14"/>
  <c r="AW28" i="14" s="1"/>
  <c r="AN28" i="14"/>
  <c r="AH28" i="13"/>
  <c r="AG28" i="13"/>
  <c r="AI28" i="13" s="1"/>
  <c r="AJ28" i="13" s="1"/>
  <c r="AK28" i="13" s="1"/>
  <c r="AF28" i="13"/>
  <c r="Y28" i="12"/>
  <c r="Z28" i="12" s="1"/>
  <c r="AA28" i="12" s="1"/>
  <c r="AB28" i="12" s="1"/>
  <c r="AH28" i="12" s="1"/>
  <c r="AC28" i="12"/>
  <c r="AF28" i="12" s="1"/>
  <c r="AL28" i="12" s="1"/>
  <c r="V28" i="12"/>
  <c r="AX28" i="14" l="1"/>
  <c r="BA28" i="14" s="1"/>
  <c r="AQ28" i="14"/>
  <c r="AP28" i="14"/>
  <c r="AR28" i="14" s="1"/>
  <c r="AS28" i="14" s="1"/>
  <c r="AT28" i="14" s="1"/>
  <c r="AZ28" i="14" s="1"/>
  <c r="AP28" i="13"/>
  <c r="AQ28" i="13"/>
  <c r="AM28" i="13"/>
  <c r="AL28" i="13"/>
  <c r="AN28" i="13" s="1"/>
  <c r="AG28" i="12"/>
  <c r="AI28" i="12" s="1"/>
  <c r="AJ28" i="12" s="1"/>
  <c r="AK28" i="12" s="1"/>
  <c r="AP28" i="12" s="1"/>
  <c r="AE28" i="12"/>
  <c r="AM28" i="12"/>
  <c r="AN28" i="12" s="1"/>
  <c r="AY28" i="14" l="1"/>
  <c r="AO28" i="13"/>
  <c r="AR28" i="13"/>
  <c r="AS28" i="13" s="1"/>
  <c r="AT28" i="13" s="1"/>
  <c r="AZ28" i="13" s="1"/>
  <c r="AV28" i="13"/>
  <c r="AU28" i="13"/>
  <c r="AO28" i="12"/>
  <c r="AU28" i="12" s="1"/>
  <c r="AQ28" i="12"/>
  <c r="AR28" i="12" s="1"/>
  <c r="AS28" i="12" s="1"/>
  <c r="AT28" i="12" s="1"/>
  <c r="AZ28" i="12" s="1"/>
  <c r="BB28" i="14" l="1"/>
  <c r="BF28" i="14"/>
  <c r="BG28" i="14" s="1"/>
  <c r="AW28" i="13"/>
  <c r="AY28" i="13" s="1"/>
  <c r="AX28" i="13"/>
  <c r="BA28" i="13" s="1"/>
  <c r="BB28" i="13"/>
  <c r="BF28" i="13"/>
  <c r="BG28" i="13" s="1"/>
  <c r="AV28" i="12"/>
  <c r="AW28" i="12" s="1"/>
  <c r="AY28" i="12" s="1"/>
  <c r="BF28" i="12" s="1"/>
  <c r="BG28" i="12" s="1"/>
  <c r="C29" i="14" l="1"/>
  <c r="BE28" i="14"/>
  <c r="BE28" i="13"/>
  <c r="C29" i="13"/>
  <c r="AX28" i="12"/>
  <c r="BA28" i="12" s="1"/>
  <c r="BB28" i="12" s="1"/>
  <c r="D29" i="14" l="1"/>
  <c r="E29" i="14"/>
  <c r="F29" i="14" s="1"/>
  <c r="E29" i="13"/>
  <c r="D29" i="13"/>
  <c r="C29" i="12"/>
  <c r="D29" i="12" s="1"/>
  <c r="BE28" i="12"/>
  <c r="J29" i="14" l="1"/>
  <c r="G29" i="14"/>
  <c r="H29" i="14" s="1"/>
  <c r="I29" i="14" s="1"/>
  <c r="F29" i="13"/>
  <c r="E29" i="12"/>
  <c r="F29" i="12" s="1"/>
  <c r="J29" i="12" s="1"/>
  <c r="BD29" i="14" l="1"/>
  <c r="K29" i="14"/>
  <c r="L29" i="14" s="1"/>
  <c r="M29" i="14" s="1"/>
  <c r="N29" i="14"/>
  <c r="J29" i="13"/>
  <c r="G29" i="13"/>
  <c r="H29" i="13" s="1"/>
  <c r="I29" i="13" s="1"/>
  <c r="G29" i="12"/>
  <c r="H29" i="12" s="1"/>
  <c r="I29" i="12" s="1"/>
  <c r="K29" i="12" s="1"/>
  <c r="L29" i="12" s="1"/>
  <c r="M29" i="12" s="1"/>
  <c r="P29" i="12" s="1"/>
  <c r="U29" i="14" l="1"/>
  <c r="T29" i="14"/>
  <c r="P29" i="14"/>
  <c r="O29" i="14"/>
  <c r="BD29" i="13"/>
  <c r="K29" i="13"/>
  <c r="L29" i="13" s="1"/>
  <c r="M29" i="13" s="1"/>
  <c r="N29" i="13"/>
  <c r="N29" i="12"/>
  <c r="T29" i="12" s="1"/>
  <c r="BD29" i="12"/>
  <c r="O29" i="12"/>
  <c r="Q29" i="12" s="1"/>
  <c r="R29" i="12" s="1"/>
  <c r="S29" i="12" s="1"/>
  <c r="X29" i="12" s="1"/>
  <c r="Q29" i="14" l="1"/>
  <c r="R29" i="14" s="1"/>
  <c r="S29" i="14" s="1"/>
  <c r="Y29" i="14" s="1"/>
  <c r="V29" i="14"/>
  <c r="X29" i="14"/>
  <c r="W29" i="14"/>
  <c r="P29" i="13"/>
  <c r="O29" i="13"/>
  <c r="Q29" i="13" s="1"/>
  <c r="R29" i="13" s="1"/>
  <c r="S29" i="13" s="1"/>
  <c r="T29" i="13"/>
  <c r="U29" i="13"/>
  <c r="W29" i="13" s="1"/>
  <c r="U29" i="12"/>
  <c r="V29" i="12" s="1"/>
  <c r="Y29" i="12"/>
  <c r="Z29" i="12" s="1"/>
  <c r="AA29" i="12" s="1"/>
  <c r="AB29" i="12" s="1"/>
  <c r="AH29" i="12" s="1"/>
  <c r="AD29" i="14" l="1"/>
  <c r="AC29" i="14"/>
  <c r="AE29" i="14" s="1"/>
  <c r="Z29" i="14"/>
  <c r="AA29" i="14" s="1"/>
  <c r="AB29" i="14" s="1"/>
  <c r="Y29" i="13"/>
  <c r="X29" i="13"/>
  <c r="AD29" i="13"/>
  <c r="AC29" i="13"/>
  <c r="V29" i="13"/>
  <c r="W29" i="12"/>
  <c r="AC29" i="12" s="1"/>
  <c r="AG29" i="12"/>
  <c r="AI29" i="12" s="1"/>
  <c r="AJ29" i="12" s="1"/>
  <c r="AK29" i="12" s="1"/>
  <c r="AP29" i="12" s="1"/>
  <c r="AH29" i="14" l="1"/>
  <c r="AG29" i="14"/>
  <c r="AI29" i="14" s="1"/>
  <c r="AJ29" i="14" s="1"/>
  <c r="AK29" i="14" s="1"/>
  <c r="AF29" i="14"/>
  <c r="AF29" i="13"/>
  <c r="AL29" i="13"/>
  <c r="AM29" i="13"/>
  <c r="AO29" i="13" s="1"/>
  <c r="AE29" i="13"/>
  <c r="Z29" i="13"/>
  <c r="AA29" i="13" s="1"/>
  <c r="AB29" i="13" s="1"/>
  <c r="AD29" i="12"/>
  <c r="AF29" i="12" s="1"/>
  <c r="AL29" i="12" s="1"/>
  <c r="AQ29" i="12"/>
  <c r="AR29" i="12" s="1"/>
  <c r="AS29" i="12" s="1"/>
  <c r="AT29" i="12" s="1"/>
  <c r="AZ29" i="12" s="1"/>
  <c r="AM29" i="14" l="1"/>
  <c r="AL29" i="14"/>
  <c r="AN29" i="14" s="1"/>
  <c r="AQ29" i="14"/>
  <c r="AP29" i="14"/>
  <c r="AN29" i="13"/>
  <c r="AH29" i="13"/>
  <c r="AG29" i="13"/>
  <c r="AI29" i="13" s="1"/>
  <c r="AJ29" i="13" s="1"/>
  <c r="AK29" i="13" s="1"/>
  <c r="AV29" i="13"/>
  <c r="AU29" i="13"/>
  <c r="AW29" i="13" s="1"/>
  <c r="AM29" i="12"/>
  <c r="AN29" i="12" s="1"/>
  <c r="AE29" i="12"/>
  <c r="AR29" i="14" l="1"/>
  <c r="AS29" i="14" s="1"/>
  <c r="AT29" i="14" s="1"/>
  <c r="AZ29" i="14" s="1"/>
  <c r="AO29" i="14"/>
  <c r="AX29" i="13"/>
  <c r="BA29" i="13" s="1"/>
  <c r="AQ29" i="13"/>
  <c r="AP29" i="13"/>
  <c r="AR29" i="13" s="1"/>
  <c r="AS29" i="13" s="1"/>
  <c r="AT29" i="13" s="1"/>
  <c r="AZ29" i="13" s="1"/>
  <c r="AO29" i="12"/>
  <c r="AV29" i="12" s="1"/>
  <c r="AV29" i="14" l="1"/>
  <c r="AU29" i="14"/>
  <c r="AW29" i="14" s="1"/>
  <c r="AY29" i="14" s="1"/>
  <c r="AY29" i="13"/>
  <c r="BB29" i="13"/>
  <c r="BF29" i="13"/>
  <c r="BG29" i="13" s="1"/>
  <c r="AU29" i="12"/>
  <c r="AW29" i="12" s="1"/>
  <c r="AY29" i="12" s="1"/>
  <c r="BF29" i="12" s="1"/>
  <c r="BG29" i="12" s="1"/>
  <c r="BF29" i="14" l="1"/>
  <c r="BG29" i="14" s="1"/>
  <c r="AX29" i="14"/>
  <c r="BA29" i="14" s="1"/>
  <c r="BB29" i="14" s="1"/>
  <c r="C30" i="13"/>
  <c r="BE29" i="13"/>
  <c r="AX29" i="12"/>
  <c r="BA29" i="12" s="1"/>
  <c r="BB29" i="12" s="1"/>
  <c r="BE29" i="14" l="1"/>
  <c r="C30" i="14"/>
  <c r="D30" i="13"/>
  <c r="E30" i="13"/>
  <c r="F30" i="13" s="1"/>
  <c r="C30" i="12"/>
  <c r="D30" i="12" s="1"/>
  <c r="BE29" i="12"/>
  <c r="E30" i="14" l="1"/>
  <c r="D30" i="14"/>
  <c r="J30" i="13"/>
  <c r="G30" i="13"/>
  <c r="H30" i="13" s="1"/>
  <c r="I30" i="13" s="1"/>
  <c r="E30" i="12"/>
  <c r="F30" i="12" s="1"/>
  <c r="G30" i="12" s="1"/>
  <c r="H30" i="12" s="1"/>
  <c r="I30" i="12" s="1"/>
  <c r="K30" i="12" s="1"/>
  <c r="L30" i="12" s="1"/>
  <c r="F30" i="14" l="1"/>
  <c r="BD30" i="13"/>
  <c r="K30" i="13"/>
  <c r="L30" i="13" s="1"/>
  <c r="M30" i="13" s="1"/>
  <c r="N30" i="13"/>
  <c r="BD30" i="12"/>
  <c r="J30" i="12"/>
  <c r="N30" i="12" s="1"/>
  <c r="T30" i="12" s="1"/>
  <c r="J30" i="14" l="1"/>
  <c r="G30" i="14"/>
  <c r="H30" i="14" s="1"/>
  <c r="I30" i="14" s="1"/>
  <c r="T30" i="13"/>
  <c r="U30" i="13"/>
  <c r="P30" i="13"/>
  <c r="O30" i="13"/>
  <c r="Q30" i="13" s="1"/>
  <c r="R30" i="13" s="1"/>
  <c r="S30" i="13" s="1"/>
  <c r="M30" i="12"/>
  <c r="P30" i="12" s="1"/>
  <c r="U30" i="12"/>
  <c r="W30" i="12" s="1"/>
  <c r="AC30" i="12" s="1"/>
  <c r="K30" i="14" l="1"/>
  <c r="L30" i="14" s="1"/>
  <c r="M30" i="14" s="1"/>
  <c r="BD30" i="14"/>
  <c r="N30" i="14"/>
  <c r="V30" i="13"/>
  <c r="X30" i="13"/>
  <c r="Y30" i="13"/>
  <c r="W30" i="13"/>
  <c r="AD30" i="12"/>
  <c r="AF30" i="12" s="1"/>
  <c r="AL30" i="12" s="1"/>
  <c r="O30" i="12"/>
  <c r="Q30" i="12" s="1"/>
  <c r="R30" i="12" s="1"/>
  <c r="S30" i="12" s="1"/>
  <c r="X30" i="12" s="1"/>
  <c r="V30" i="12"/>
  <c r="U30" i="14" l="1"/>
  <c r="T30" i="14"/>
  <c r="P30" i="14"/>
  <c r="O30" i="14"/>
  <c r="AD30" i="13"/>
  <c r="AC30" i="13"/>
  <c r="AE30" i="13" s="1"/>
  <c r="Z30" i="13"/>
  <c r="AA30" i="13" s="1"/>
  <c r="AB30" i="13" s="1"/>
  <c r="AE30" i="12"/>
  <c r="AM30" i="12"/>
  <c r="AN30" i="12" s="1"/>
  <c r="Y30" i="12"/>
  <c r="Z30" i="12" s="1"/>
  <c r="AA30" i="12" s="1"/>
  <c r="AB30" i="12" s="1"/>
  <c r="AG30" i="12" s="1"/>
  <c r="Q30" i="14" l="1"/>
  <c r="R30" i="14" s="1"/>
  <c r="S30" i="14" s="1"/>
  <c r="W30" i="14"/>
  <c r="AC30" i="14" s="1"/>
  <c r="AE30" i="14" s="1"/>
  <c r="X30" i="14"/>
  <c r="Y30" i="14"/>
  <c r="V30" i="14"/>
  <c r="AD30" i="14"/>
  <c r="AH30" i="13"/>
  <c r="AG30" i="13"/>
  <c r="AF30" i="13"/>
  <c r="AH30" i="12"/>
  <c r="AI30" i="12" s="1"/>
  <c r="AJ30" i="12" s="1"/>
  <c r="AK30" i="12" s="1"/>
  <c r="AO30" i="12"/>
  <c r="AV30" i="12" s="1"/>
  <c r="Z30" i="14" l="1"/>
  <c r="AA30" i="14" s="1"/>
  <c r="AB30" i="14" s="1"/>
  <c r="AH30" i="14" s="1"/>
  <c r="AG30" i="14"/>
  <c r="AF30" i="14"/>
  <c r="AL30" i="13"/>
  <c r="AM30" i="13"/>
  <c r="AO30" i="13" s="1"/>
  <c r="AI30" i="13"/>
  <c r="AJ30" i="13" s="1"/>
  <c r="AK30" i="13" s="1"/>
  <c r="AP30" i="12"/>
  <c r="AQ30" i="12"/>
  <c r="AU30" i="12"/>
  <c r="AX30" i="12" s="1"/>
  <c r="BA30" i="12" s="1"/>
  <c r="AI30" i="14" l="1"/>
  <c r="AJ30" i="14" s="1"/>
  <c r="AK30" i="14" s="1"/>
  <c r="AM30" i="14"/>
  <c r="AL30" i="14"/>
  <c r="AP30" i="14"/>
  <c r="AQ30" i="14"/>
  <c r="AP30" i="13"/>
  <c r="AQ30" i="13"/>
  <c r="AV30" i="13"/>
  <c r="AU30" i="13"/>
  <c r="AW30" i="13" s="1"/>
  <c r="AN30" i="13"/>
  <c r="AW30" i="12"/>
  <c r="AR30" i="12"/>
  <c r="AS30" i="12" s="1"/>
  <c r="AT30" i="12" s="1"/>
  <c r="AZ30" i="12" s="1"/>
  <c r="AO30" i="14" l="1"/>
  <c r="AV30" i="14"/>
  <c r="AU30" i="14"/>
  <c r="AW30" i="14" s="1"/>
  <c r="AR30" i="14"/>
  <c r="AS30" i="14" s="1"/>
  <c r="AT30" i="14" s="1"/>
  <c r="AZ30" i="14" s="1"/>
  <c r="AN30" i="14"/>
  <c r="AX30" i="13"/>
  <c r="BA30" i="13" s="1"/>
  <c r="AR30" i="13"/>
  <c r="AS30" i="13" s="1"/>
  <c r="AT30" i="13" s="1"/>
  <c r="AZ30" i="13" s="1"/>
  <c r="AY30" i="12"/>
  <c r="BF30" i="12" s="1"/>
  <c r="BG30" i="12" s="1"/>
  <c r="BB30" i="12" l="1"/>
  <c r="C31" i="12" s="1"/>
  <c r="D31" i="12" s="1"/>
  <c r="AY30" i="14"/>
  <c r="AX30" i="14"/>
  <c r="BA30" i="14" s="1"/>
  <c r="AY30" i="13"/>
  <c r="E31" i="12" l="1"/>
  <c r="F31" i="12" s="1"/>
  <c r="J31" i="12" s="1"/>
  <c r="BE30" i="12"/>
  <c r="BB30" i="14"/>
  <c r="BF30" i="14"/>
  <c r="BG30" i="14" s="1"/>
  <c r="BB30" i="13"/>
  <c r="BF30" i="13"/>
  <c r="BG30" i="13" s="1"/>
  <c r="G31" i="12" l="1"/>
  <c r="H31" i="12" s="1"/>
  <c r="I31" i="12" s="1"/>
  <c r="K31" i="12" s="1"/>
  <c r="L31" i="12" s="1"/>
  <c r="M31" i="12" s="1"/>
  <c r="P31" i="12" s="1"/>
  <c r="BE30" i="14"/>
  <c r="C31" i="14"/>
  <c r="C31" i="13"/>
  <c r="BE30" i="13"/>
  <c r="O31" i="12" l="1"/>
  <c r="Q31" i="12" s="1"/>
  <c r="R31" i="12" s="1"/>
  <c r="S31" i="12" s="1"/>
  <c r="Y31" i="12" s="1"/>
  <c r="BD31" i="12"/>
  <c r="N31" i="12"/>
  <c r="T31" i="12" s="1"/>
  <c r="E31" i="14"/>
  <c r="D31" i="14"/>
  <c r="D31" i="13"/>
  <c r="E31" i="13"/>
  <c r="F31" i="13" s="1"/>
  <c r="X31" i="12"/>
  <c r="Z31" i="12" s="1"/>
  <c r="AA31" i="12" s="1"/>
  <c r="AB31" i="12" s="1"/>
  <c r="AG31" i="12" s="1"/>
  <c r="U31" i="12" l="1"/>
  <c r="W31" i="12" s="1"/>
  <c r="AC31" i="12" s="1"/>
  <c r="F31" i="14"/>
  <c r="J31" i="13"/>
  <c r="G31" i="13"/>
  <c r="H31" i="13" s="1"/>
  <c r="I31" i="13" s="1"/>
  <c r="AH31" i="12"/>
  <c r="AI31" i="12" s="1"/>
  <c r="AJ31" i="12" s="1"/>
  <c r="AK31" i="12" s="1"/>
  <c r="AQ31" i="12" s="1"/>
  <c r="V31" i="12" l="1"/>
  <c r="AD31" i="12"/>
  <c r="AE31" i="12" s="1"/>
  <c r="J31" i="14"/>
  <c r="G31" i="14"/>
  <c r="H31" i="14" s="1"/>
  <c r="I31" i="14" s="1"/>
  <c r="BD31" i="13"/>
  <c r="K31" i="13"/>
  <c r="L31" i="13" s="1"/>
  <c r="M31" i="13" s="1"/>
  <c r="N31" i="13"/>
  <c r="AF31" i="12"/>
  <c r="AM31" i="12" s="1"/>
  <c r="AP31" i="12"/>
  <c r="AR31" i="12" s="1"/>
  <c r="AS31" i="12" s="1"/>
  <c r="AT31" i="12" s="1"/>
  <c r="AZ31" i="12" s="1"/>
  <c r="N31" i="14" l="1"/>
  <c r="BD31" i="14"/>
  <c r="K31" i="14"/>
  <c r="L31" i="14" s="1"/>
  <c r="M31" i="14" s="1"/>
  <c r="P31" i="13"/>
  <c r="O31" i="13"/>
  <c r="Q31" i="13" s="1"/>
  <c r="R31" i="13" s="1"/>
  <c r="S31" i="13" s="1"/>
  <c r="T31" i="13"/>
  <c r="U31" i="13"/>
  <c r="W31" i="13" s="1"/>
  <c r="AL31" i="12"/>
  <c r="AN31" i="12" s="1"/>
  <c r="T31" i="14" l="1"/>
  <c r="U31" i="14"/>
  <c r="W31" i="14" s="1"/>
  <c r="O31" i="14"/>
  <c r="P31" i="14"/>
  <c r="AD31" i="13"/>
  <c r="AC31" i="13"/>
  <c r="AE31" i="13" s="1"/>
  <c r="V31" i="13"/>
  <c r="X31" i="13"/>
  <c r="Y31" i="13"/>
  <c r="AO31" i="12"/>
  <c r="AU31" i="12" s="1"/>
  <c r="Q31" i="14" l="1"/>
  <c r="R31" i="14" s="1"/>
  <c r="S31" i="14" s="1"/>
  <c r="AD31" i="14"/>
  <c r="AC31" i="14"/>
  <c r="AE31" i="14" s="1"/>
  <c r="V31" i="14"/>
  <c r="Z31" i="13"/>
  <c r="AA31" i="13" s="1"/>
  <c r="AB31" i="13" s="1"/>
  <c r="AF31" i="13"/>
  <c r="AV31" i="12"/>
  <c r="AX31" i="12" s="1"/>
  <c r="BA31" i="12" s="1"/>
  <c r="AF31" i="14" l="1"/>
  <c r="Y31" i="14"/>
  <c r="X31" i="14"/>
  <c r="Z31" i="14" s="1"/>
  <c r="AA31" i="14" s="1"/>
  <c r="AB31" i="14" s="1"/>
  <c r="AL31" i="13"/>
  <c r="AM31" i="13"/>
  <c r="AH31" i="13"/>
  <c r="AG31" i="13"/>
  <c r="AI31" i="13" s="1"/>
  <c r="AJ31" i="13" s="1"/>
  <c r="AK31" i="13" s="1"/>
  <c r="AW31" i="12"/>
  <c r="AY31" i="12" s="1"/>
  <c r="BB31" i="12" s="1"/>
  <c r="C32" i="12" s="1"/>
  <c r="E32" i="12" l="1"/>
  <c r="D32" i="12"/>
  <c r="AG31" i="14"/>
  <c r="AH31" i="14"/>
  <c r="AL31" i="14"/>
  <c r="AM31" i="14"/>
  <c r="AN31" i="13"/>
  <c r="AP31" i="13"/>
  <c r="AQ31" i="13"/>
  <c r="AO31" i="13"/>
  <c r="BF31" i="12"/>
  <c r="BG31" i="12" s="1"/>
  <c r="BE31" i="12"/>
  <c r="F32" i="12" l="1"/>
  <c r="AN31" i="14"/>
  <c r="AO31" i="14"/>
  <c r="AI31" i="14"/>
  <c r="AJ31" i="14" s="1"/>
  <c r="AK31" i="14" s="1"/>
  <c r="AV31" i="13"/>
  <c r="AU31" i="13"/>
  <c r="AW31" i="13" s="1"/>
  <c r="AR31" i="13"/>
  <c r="AS31" i="13" s="1"/>
  <c r="AT31" i="13" s="1"/>
  <c r="AZ31" i="13" s="1"/>
  <c r="G32" i="12"/>
  <c r="H32" i="12" s="1"/>
  <c r="I32" i="12" s="1"/>
  <c r="K32" i="12" s="1"/>
  <c r="L32" i="12" s="1"/>
  <c r="AQ31" i="14" l="1"/>
  <c r="AP31" i="14"/>
  <c r="AR31" i="14" s="1"/>
  <c r="AS31" i="14" s="1"/>
  <c r="AT31" i="14" s="1"/>
  <c r="AZ31" i="14" s="1"/>
  <c r="AV31" i="14"/>
  <c r="AU31" i="14"/>
  <c r="AW31" i="14" s="1"/>
  <c r="AY31" i="13"/>
  <c r="AX31" i="13"/>
  <c r="BA31" i="13" s="1"/>
  <c r="J32" i="12"/>
  <c r="M32" i="12" s="1"/>
  <c r="O32" i="12" s="1"/>
  <c r="BD32" i="12"/>
  <c r="AY31" i="14" l="1"/>
  <c r="AX31" i="14"/>
  <c r="BA31" i="14" s="1"/>
  <c r="BB31" i="13"/>
  <c r="BF31" i="13"/>
  <c r="BG31" i="13" s="1"/>
  <c r="N32" i="12"/>
  <c r="T32" i="12" s="1"/>
  <c r="P32" i="12"/>
  <c r="Q32" i="12" s="1"/>
  <c r="R32" i="12" s="1"/>
  <c r="S32" i="12" s="1"/>
  <c r="X32" i="12" s="1"/>
  <c r="U32" i="12" l="1"/>
  <c r="W32" i="12" s="1"/>
  <c r="AC32" i="12" s="1"/>
  <c r="BB31" i="14"/>
  <c r="BF31" i="14"/>
  <c r="BG31" i="14" s="1"/>
  <c r="C32" i="13"/>
  <c r="BE31" i="13"/>
  <c r="Y32" i="12"/>
  <c r="Z32" i="12" s="1"/>
  <c r="AA32" i="12" s="1"/>
  <c r="AB32" i="12" s="1"/>
  <c r="AG32" i="12" s="1"/>
  <c r="V32" i="12"/>
  <c r="AD32" i="12" l="1"/>
  <c r="AF32" i="12" s="1"/>
  <c r="AM32" i="12" s="1"/>
  <c r="C32" i="14"/>
  <c r="BE31" i="14"/>
  <c r="D32" i="13"/>
  <c r="E32" i="13"/>
  <c r="F32" i="13" s="1"/>
  <c r="AH32" i="12"/>
  <c r="AI32" i="12" s="1"/>
  <c r="AJ32" i="12" s="1"/>
  <c r="AK32" i="12" s="1"/>
  <c r="AP32" i="12" s="1"/>
  <c r="AL32" i="12" l="1"/>
  <c r="AN32" i="12" s="1"/>
  <c r="AE32" i="12"/>
  <c r="D32" i="14"/>
  <c r="E32" i="14"/>
  <c r="J32" i="13"/>
  <c r="G32" i="13"/>
  <c r="H32" i="13" s="1"/>
  <c r="I32" i="13" s="1"/>
  <c r="AQ32" i="12"/>
  <c r="AR32" i="12" s="1"/>
  <c r="AS32" i="12" s="1"/>
  <c r="AT32" i="12" s="1"/>
  <c r="AZ32" i="12" s="1"/>
  <c r="AO32" i="12" l="1"/>
  <c r="AU32" i="12" s="1"/>
  <c r="F32" i="14"/>
  <c r="J32" i="14"/>
  <c r="G32" i="14"/>
  <c r="H32" i="14" s="1"/>
  <c r="I32" i="14" s="1"/>
  <c r="BD32" i="13"/>
  <c r="K32" i="13"/>
  <c r="L32" i="13" s="1"/>
  <c r="M32" i="13" s="1"/>
  <c r="N32" i="13"/>
  <c r="AV32" i="12"/>
  <c r="AW32" i="12" s="1"/>
  <c r="AY32" i="12" s="1"/>
  <c r="BF32" i="12" s="1"/>
  <c r="BG32" i="12" s="1"/>
  <c r="BD32" i="14" l="1"/>
  <c r="K32" i="14"/>
  <c r="L32" i="14" s="1"/>
  <c r="M32" i="14" s="1"/>
  <c r="N32" i="14"/>
  <c r="P32" i="13"/>
  <c r="O32" i="13"/>
  <c r="T32" i="13"/>
  <c r="U32" i="13"/>
  <c r="AX32" i="12"/>
  <c r="BA32" i="12" s="1"/>
  <c r="BB32" i="12" s="1"/>
  <c r="P32" i="14" l="1"/>
  <c r="O32" i="14"/>
  <c r="U32" i="14"/>
  <c r="T32" i="14"/>
  <c r="V32" i="14" s="1"/>
  <c r="W32" i="13"/>
  <c r="AD32" i="13"/>
  <c r="AF32" i="13" s="1"/>
  <c r="AC32" i="13"/>
  <c r="V32" i="13"/>
  <c r="Q32" i="13"/>
  <c r="R32" i="13" s="1"/>
  <c r="S32" i="13" s="1"/>
  <c r="C33" i="12"/>
  <c r="D33" i="12" s="1"/>
  <c r="BE32" i="12"/>
  <c r="W32" i="14" l="1"/>
  <c r="Q32" i="14"/>
  <c r="R32" i="14" s="1"/>
  <c r="S32" i="14" s="1"/>
  <c r="Y32" i="13"/>
  <c r="X32" i="13"/>
  <c r="Z32" i="13" s="1"/>
  <c r="AA32" i="13" s="1"/>
  <c r="AB32" i="13" s="1"/>
  <c r="AE32" i="13"/>
  <c r="AL32" i="13"/>
  <c r="AM32" i="13"/>
  <c r="AO32" i="13" s="1"/>
  <c r="E33" i="12"/>
  <c r="F33" i="12" s="1"/>
  <c r="J33" i="12" s="1"/>
  <c r="AD32" i="14" l="1"/>
  <c r="AC32" i="14"/>
  <c r="AE32" i="14" s="1"/>
  <c r="Y32" i="14"/>
  <c r="X32" i="14"/>
  <c r="AV32" i="13"/>
  <c r="AU32" i="13"/>
  <c r="AW32" i="13" s="1"/>
  <c r="AH32" i="13"/>
  <c r="AG32" i="13"/>
  <c r="AI32" i="13" s="1"/>
  <c r="AJ32" i="13" s="1"/>
  <c r="AK32" i="13" s="1"/>
  <c r="AN32" i="13"/>
  <c r="G33" i="12"/>
  <c r="H33" i="12" s="1"/>
  <c r="I33" i="12" s="1"/>
  <c r="BD33" i="12" s="1"/>
  <c r="AF32" i="14" l="1"/>
  <c r="Z32" i="14"/>
  <c r="AA32" i="14" s="1"/>
  <c r="AB32" i="14" s="1"/>
  <c r="AQ32" i="13"/>
  <c r="AP32" i="13"/>
  <c r="AR32" i="13" s="1"/>
  <c r="AS32" i="13" s="1"/>
  <c r="AT32" i="13" s="1"/>
  <c r="AZ32" i="13" s="1"/>
  <c r="AX32" i="13"/>
  <c r="BA32" i="13" s="1"/>
  <c r="K33" i="12"/>
  <c r="L33" i="12" s="1"/>
  <c r="M33" i="12" s="1"/>
  <c r="O33" i="12" s="1"/>
  <c r="N33" i="12"/>
  <c r="U33" i="12" s="1"/>
  <c r="AH32" i="14" l="1"/>
  <c r="AG32" i="14"/>
  <c r="AI32" i="14" s="1"/>
  <c r="AJ32" i="14" s="1"/>
  <c r="AK32" i="14" s="1"/>
  <c r="AM32" i="14"/>
  <c r="AL32" i="14"/>
  <c r="AY32" i="13"/>
  <c r="T33" i="12"/>
  <c r="W33" i="12" s="1"/>
  <c r="AD33" i="12" s="1"/>
  <c r="P33" i="12"/>
  <c r="Q33" i="12" s="1"/>
  <c r="R33" i="12" s="1"/>
  <c r="S33" i="12" s="1"/>
  <c r="X33" i="12" s="1"/>
  <c r="AN32" i="14" l="1"/>
  <c r="AO32" i="14"/>
  <c r="AQ32" i="14"/>
  <c r="AP32" i="14"/>
  <c r="AR32" i="14" s="1"/>
  <c r="AS32" i="14" s="1"/>
  <c r="AT32" i="14" s="1"/>
  <c r="AZ32" i="14" s="1"/>
  <c r="BB32" i="13"/>
  <c r="BF32" i="13"/>
  <c r="BG32" i="13" s="1"/>
  <c r="V33" i="12"/>
  <c r="AC33" i="12"/>
  <c r="AE33" i="12" s="1"/>
  <c r="Y33" i="12"/>
  <c r="Z33" i="12" s="1"/>
  <c r="AA33" i="12" s="1"/>
  <c r="AB33" i="12" s="1"/>
  <c r="AH33" i="12" s="1"/>
  <c r="AV32" i="14" l="1"/>
  <c r="AU32" i="14"/>
  <c r="AW32" i="14" s="1"/>
  <c r="AY32" i="14" s="1"/>
  <c r="C33" i="13"/>
  <c r="BE32" i="13"/>
  <c r="AF33" i="12"/>
  <c r="AM33" i="12" s="1"/>
  <c r="AG33" i="12"/>
  <c r="AI33" i="12" s="1"/>
  <c r="AJ33" i="12" s="1"/>
  <c r="AK33" i="12" s="1"/>
  <c r="AP33" i="12" s="1"/>
  <c r="BF32" i="14" l="1"/>
  <c r="BG32" i="14" s="1"/>
  <c r="AX32" i="14"/>
  <c r="BA32" i="14" s="1"/>
  <c r="BB32" i="14" s="1"/>
  <c r="D33" i="13"/>
  <c r="E33" i="13"/>
  <c r="F33" i="13" s="1"/>
  <c r="AL33" i="12"/>
  <c r="AN33" i="12" s="1"/>
  <c r="AQ33" i="12"/>
  <c r="AR33" i="12" s="1"/>
  <c r="BE32" i="14" l="1"/>
  <c r="C33" i="14"/>
  <c r="J33" i="13"/>
  <c r="G33" i="13"/>
  <c r="H33" i="13" s="1"/>
  <c r="I33" i="13" s="1"/>
  <c r="AO33" i="12"/>
  <c r="AV33" i="12" s="1"/>
  <c r="AS33" i="12"/>
  <c r="AT33" i="12" s="1"/>
  <c r="AZ33" i="12" s="1"/>
  <c r="E33" i="14" l="1"/>
  <c r="D33" i="14"/>
  <c r="BD33" i="13"/>
  <c r="K33" i="13"/>
  <c r="L33" i="13" s="1"/>
  <c r="M33" i="13" s="1"/>
  <c r="N33" i="13"/>
  <c r="AU33" i="12"/>
  <c r="AW33" i="12" s="1"/>
  <c r="AY33" i="12" s="1"/>
  <c r="BF33" i="12" s="1"/>
  <c r="BG33" i="12" s="1"/>
  <c r="F33" i="14" l="1"/>
  <c r="J33" i="14"/>
  <c r="G33" i="14"/>
  <c r="H33" i="14" s="1"/>
  <c r="I33" i="14" s="1"/>
  <c r="P33" i="13"/>
  <c r="O33" i="13"/>
  <c r="Q33" i="13" s="1"/>
  <c r="R33" i="13" s="1"/>
  <c r="S33" i="13" s="1"/>
  <c r="U33" i="13"/>
  <c r="T33" i="13"/>
  <c r="AX33" i="12"/>
  <c r="BA33" i="12" s="1"/>
  <c r="BB33" i="12" s="1"/>
  <c r="K33" i="14" l="1"/>
  <c r="L33" i="14" s="1"/>
  <c r="M33" i="14" s="1"/>
  <c r="BD33" i="14"/>
  <c r="N33" i="14"/>
  <c r="W33" i="13"/>
  <c r="AD33" i="13"/>
  <c r="AC33" i="13"/>
  <c r="AE33" i="13" s="1"/>
  <c r="V33" i="13"/>
  <c r="X33" i="13"/>
  <c r="Y33" i="13"/>
  <c r="C34" i="12"/>
  <c r="E34" i="12" s="1"/>
  <c r="BE33" i="12"/>
  <c r="U33" i="14" l="1"/>
  <c r="T33" i="14"/>
  <c r="V33" i="14" s="1"/>
  <c r="P33" i="14"/>
  <c r="O33" i="14"/>
  <c r="Q33" i="14" s="1"/>
  <c r="R33" i="14" s="1"/>
  <c r="S33" i="14" s="1"/>
  <c r="AF33" i="13"/>
  <c r="Z33" i="13"/>
  <c r="AA33" i="13" s="1"/>
  <c r="AB33" i="13" s="1"/>
  <c r="D34" i="12"/>
  <c r="F34" i="12" s="1"/>
  <c r="J34" i="12" s="1"/>
  <c r="X33" i="14" l="1"/>
  <c r="Y33" i="14"/>
  <c r="W33" i="14"/>
  <c r="AM33" i="13"/>
  <c r="AL33" i="13"/>
  <c r="AH33" i="13"/>
  <c r="AG33" i="13"/>
  <c r="G34" i="12"/>
  <c r="H34" i="12" s="1"/>
  <c r="I34" i="12" s="1"/>
  <c r="BD34" i="12" s="1"/>
  <c r="Z33" i="14" l="1"/>
  <c r="AA33" i="14" s="1"/>
  <c r="AB33" i="14" s="1"/>
  <c r="AD33" i="14"/>
  <c r="AC33" i="14"/>
  <c r="AH33" i="14"/>
  <c r="AG33" i="14"/>
  <c r="AO33" i="13"/>
  <c r="AI33" i="13"/>
  <c r="AJ33" i="13" s="1"/>
  <c r="AK33" i="13" s="1"/>
  <c r="AN33" i="13"/>
  <c r="AV33" i="13"/>
  <c r="AU33" i="13"/>
  <c r="AW33" i="13" s="1"/>
  <c r="K34" i="12"/>
  <c r="L34" i="12" s="1"/>
  <c r="M34" i="12" s="1"/>
  <c r="O34" i="12" s="1"/>
  <c r="N34" i="12"/>
  <c r="U34" i="12" s="1"/>
  <c r="AI33" i="14" l="1"/>
  <c r="AJ33" i="14" s="1"/>
  <c r="AK33" i="14" s="1"/>
  <c r="AF33" i="14"/>
  <c r="AM33" i="14" s="1"/>
  <c r="AP33" i="14"/>
  <c r="AQ33" i="14"/>
  <c r="AE33" i="14"/>
  <c r="AP33" i="13"/>
  <c r="AQ33" i="13"/>
  <c r="AX33" i="13"/>
  <c r="BA33" i="13" s="1"/>
  <c r="P34" i="12"/>
  <c r="Q34" i="12" s="1"/>
  <c r="R34" i="12" s="1"/>
  <c r="S34" i="12" s="1"/>
  <c r="T34" i="12"/>
  <c r="V34" i="12" s="1"/>
  <c r="AR33" i="14" l="1"/>
  <c r="AS33" i="14" s="1"/>
  <c r="AT33" i="14" s="1"/>
  <c r="AZ33" i="14" s="1"/>
  <c r="AL33" i="14"/>
  <c r="AN33" i="14" s="1"/>
  <c r="AR33" i="13"/>
  <c r="AS33" i="13" s="1"/>
  <c r="AT33" i="13" s="1"/>
  <c r="AZ33" i="13" s="1"/>
  <c r="AY33" i="13"/>
  <c r="W34" i="12"/>
  <c r="AC34" i="12" s="1"/>
  <c r="X34" i="12"/>
  <c r="Y34" i="12"/>
  <c r="AO33" i="14" l="1"/>
  <c r="AV33" i="14"/>
  <c r="AU33" i="14"/>
  <c r="AW33" i="14" s="1"/>
  <c r="AY33" i="14" s="1"/>
  <c r="BB33" i="13"/>
  <c r="BF33" i="13"/>
  <c r="BG33" i="13" s="1"/>
  <c r="AD34" i="12"/>
  <c r="AE34" i="12" s="1"/>
  <c r="Z34" i="12"/>
  <c r="AA34" i="12" s="1"/>
  <c r="AB34" i="12" s="1"/>
  <c r="AH34" i="12" s="1"/>
  <c r="BF33" i="14" l="1"/>
  <c r="BG33" i="14" s="1"/>
  <c r="AX33" i="14"/>
  <c r="BA33" i="14" s="1"/>
  <c r="BB33" i="14" s="1"/>
  <c r="BE33" i="13"/>
  <c r="C34" i="13"/>
  <c r="AF34" i="12"/>
  <c r="AL34" i="12" s="1"/>
  <c r="AG34" i="12"/>
  <c r="AI34" i="12" s="1"/>
  <c r="AJ34" i="12" s="1"/>
  <c r="AK34" i="12" s="1"/>
  <c r="AP34" i="12" s="1"/>
  <c r="BE33" i="14" l="1"/>
  <c r="C34" i="14"/>
  <c r="E34" i="13"/>
  <c r="D34" i="13"/>
  <c r="AM34" i="12"/>
  <c r="AO34" i="12" s="1"/>
  <c r="AU34" i="12" s="1"/>
  <c r="AQ34" i="12"/>
  <c r="AR34" i="12" s="1"/>
  <c r="AS34" i="12" s="1"/>
  <c r="AT34" i="12" s="1"/>
  <c r="AZ34" i="12" s="1"/>
  <c r="E34" i="14" l="1"/>
  <c r="D34" i="14"/>
  <c r="F34" i="13"/>
  <c r="AN34" i="12"/>
  <c r="AV34" i="12"/>
  <c r="AX34" i="12" s="1"/>
  <c r="BA34" i="12" s="1"/>
  <c r="AW34" i="12" l="1"/>
  <c r="AY34" i="12" s="1"/>
  <c r="BB34" i="12" s="1"/>
  <c r="C35" i="12" s="1"/>
  <c r="E35" i="12" s="1"/>
  <c r="F34" i="14"/>
  <c r="J34" i="13"/>
  <c r="G34" i="13"/>
  <c r="H34" i="13" s="1"/>
  <c r="I34" i="13" s="1"/>
  <c r="BF34" i="12"/>
  <c r="BG34" i="12" s="1"/>
  <c r="BE34" i="12" l="1"/>
  <c r="J34" i="14"/>
  <c r="G34" i="14"/>
  <c r="H34" i="14" s="1"/>
  <c r="I34" i="14" s="1"/>
  <c r="BD34" i="13"/>
  <c r="K34" i="13"/>
  <c r="L34" i="13" s="1"/>
  <c r="M34" i="13" s="1"/>
  <c r="N34" i="13"/>
  <c r="D35" i="12"/>
  <c r="F35" i="12" s="1"/>
  <c r="J35" i="12" s="1"/>
  <c r="BD34" i="14" l="1"/>
  <c r="K34" i="14"/>
  <c r="L34" i="14" s="1"/>
  <c r="M34" i="14" s="1"/>
  <c r="N34" i="14"/>
  <c r="P34" i="13"/>
  <c r="O34" i="13"/>
  <c r="T34" i="13"/>
  <c r="U34" i="13"/>
  <c r="W34" i="13" s="1"/>
  <c r="G35" i="12"/>
  <c r="H35" i="12" s="1"/>
  <c r="I35" i="12" s="1"/>
  <c r="K35" i="12" s="1"/>
  <c r="L35" i="12" s="1"/>
  <c r="M35" i="12" s="1"/>
  <c r="P35" i="12" s="1"/>
  <c r="T34" i="14" l="1"/>
  <c r="U34" i="14"/>
  <c r="P34" i="14"/>
  <c r="O34" i="14"/>
  <c r="AD34" i="13"/>
  <c r="AC34" i="13"/>
  <c r="AE34" i="13" s="1"/>
  <c r="V34" i="13"/>
  <c r="Q34" i="13"/>
  <c r="R34" i="13" s="1"/>
  <c r="S34" i="13" s="1"/>
  <c r="N35" i="12"/>
  <c r="T35" i="12" s="1"/>
  <c r="O35" i="12"/>
  <c r="Q35" i="12" s="1"/>
  <c r="R35" i="12" s="1"/>
  <c r="S35" i="12" s="1"/>
  <c r="X35" i="12" s="1"/>
  <c r="BD35" i="12"/>
  <c r="V34" i="14" l="1"/>
  <c r="Q34" i="14"/>
  <c r="R34" i="14" s="1"/>
  <c r="S34" i="14" s="1"/>
  <c r="W34" i="14"/>
  <c r="X34" i="13"/>
  <c r="Y34" i="13"/>
  <c r="AF34" i="13"/>
  <c r="Y35" i="12"/>
  <c r="Z35" i="12" s="1"/>
  <c r="AA35" i="12" s="1"/>
  <c r="AB35" i="12" s="1"/>
  <c r="AG35" i="12" s="1"/>
  <c r="U35" i="12"/>
  <c r="AD34" i="14" l="1"/>
  <c r="AC34" i="14"/>
  <c r="AE34" i="14" s="1"/>
  <c r="Y34" i="14"/>
  <c r="X34" i="14"/>
  <c r="AL34" i="13"/>
  <c r="AM34" i="13"/>
  <c r="Z34" i="13"/>
  <c r="AA34" i="13" s="1"/>
  <c r="AB34" i="13" s="1"/>
  <c r="V35" i="12"/>
  <c r="W35" i="12"/>
  <c r="AH35" i="12"/>
  <c r="AI35" i="12" s="1"/>
  <c r="AJ35" i="12" s="1"/>
  <c r="AK35" i="12" s="1"/>
  <c r="Z34" i="14" l="1"/>
  <c r="AA34" i="14" s="1"/>
  <c r="AB34" i="14" s="1"/>
  <c r="AF34" i="14"/>
  <c r="AH34" i="14"/>
  <c r="AG34" i="14"/>
  <c r="AI34" i="14" s="1"/>
  <c r="AJ34" i="14" s="1"/>
  <c r="AK34" i="14" s="1"/>
  <c r="AN34" i="13"/>
  <c r="AH34" i="13"/>
  <c r="AG34" i="13"/>
  <c r="AI34" i="13" s="1"/>
  <c r="AJ34" i="13" s="1"/>
  <c r="AK34" i="13" s="1"/>
  <c r="AO34" i="13"/>
  <c r="AD35" i="12"/>
  <c r="AC35" i="12"/>
  <c r="AP35" i="12"/>
  <c r="AQ35" i="12"/>
  <c r="AQ34" i="14" l="1"/>
  <c r="AP34" i="14"/>
  <c r="AR34" i="14" s="1"/>
  <c r="AS34" i="14" s="1"/>
  <c r="AT34" i="14" s="1"/>
  <c r="AZ34" i="14" s="1"/>
  <c r="AL34" i="14"/>
  <c r="AM34" i="14"/>
  <c r="AO34" i="14" s="1"/>
  <c r="AV34" i="13"/>
  <c r="AU34" i="13"/>
  <c r="AW34" i="13" s="1"/>
  <c r="AP34" i="13"/>
  <c r="AQ34" i="13"/>
  <c r="AF35" i="12"/>
  <c r="AL35" i="12" s="1"/>
  <c r="AE35" i="12"/>
  <c r="AR35" i="12"/>
  <c r="AS35" i="12" s="1"/>
  <c r="AT35" i="12" s="1"/>
  <c r="AZ35" i="12" s="1"/>
  <c r="AV34" i="14" l="1"/>
  <c r="AU34" i="14"/>
  <c r="AN34" i="14"/>
  <c r="AR34" i="13"/>
  <c r="AS34" i="13" s="1"/>
  <c r="AT34" i="13" s="1"/>
  <c r="AZ34" i="13" s="1"/>
  <c r="AY34" i="13"/>
  <c r="AX34" i="13"/>
  <c r="BA34" i="13" s="1"/>
  <c r="AM35" i="12"/>
  <c r="AN35" i="12" s="1"/>
  <c r="AX34" i="14" l="1"/>
  <c r="BA34" i="14" s="1"/>
  <c r="AW34" i="14"/>
  <c r="AY34" i="14" s="1"/>
  <c r="BB34" i="13"/>
  <c r="BF34" i="13"/>
  <c r="BG34" i="13" s="1"/>
  <c r="AO35" i="12"/>
  <c r="AU35" i="12" s="1"/>
  <c r="AV35" i="12"/>
  <c r="AX35" i="12" s="1"/>
  <c r="BA35" i="12" s="1"/>
  <c r="AW35" i="12" l="1"/>
  <c r="AY35" i="12" s="1"/>
  <c r="BF35" i="12" s="1"/>
  <c r="BG35" i="12" s="1"/>
  <c r="BB34" i="14"/>
  <c r="BF34" i="14"/>
  <c r="BG34" i="14" s="1"/>
  <c r="C35" i="13"/>
  <c r="BE34" i="13"/>
  <c r="BB35" i="12" l="1"/>
  <c r="C36" i="12" s="1"/>
  <c r="D36" i="12" s="1"/>
  <c r="BE34" i="14"/>
  <c r="C35" i="14"/>
  <c r="D35" i="13"/>
  <c r="E35" i="13"/>
  <c r="F35" i="13" s="1"/>
  <c r="BE35" i="12" l="1"/>
  <c r="E35" i="14"/>
  <c r="D35" i="14"/>
  <c r="J35" i="13"/>
  <c r="G35" i="13"/>
  <c r="H35" i="13" s="1"/>
  <c r="I35" i="13" s="1"/>
  <c r="E36" i="12"/>
  <c r="F36" i="12" s="1"/>
  <c r="J36" i="12" s="1"/>
  <c r="F35" i="14" l="1"/>
  <c r="N35" i="13"/>
  <c r="BD35" i="13"/>
  <c r="K35" i="13"/>
  <c r="L35" i="13" s="1"/>
  <c r="M35" i="13" s="1"/>
  <c r="G36" i="12"/>
  <c r="H36" i="12" s="1"/>
  <c r="I36" i="12" s="1"/>
  <c r="K36" i="12" s="1"/>
  <c r="L36" i="12" s="1"/>
  <c r="M36" i="12" s="1"/>
  <c r="O36" i="12" s="1"/>
  <c r="J35" i="14" l="1"/>
  <c r="G35" i="14"/>
  <c r="H35" i="14" s="1"/>
  <c r="I35" i="14" s="1"/>
  <c r="P35" i="13"/>
  <c r="O35" i="13"/>
  <c r="Q35" i="13" s="1"/>
  <c r="R35" i="13" s="1"/>
  <c r="S35" i="13" s="1"/>
  <c r="T35" i="13"/>
  <c r="U35" i="13"/>
  <c r="W35" i="13" s="1"/>
  <c r="N36" i="12"/>
  <c r="T36" i="12" s="1"/>
  <c r="BD36" i="12"/>
  <c r="P36" i="12"/>
  <c r="Q36" i="12" s="1"/>
  <c r="R36" i="12" s="1"/>
  <c r="S36" i="12" s="1"/>
  <c r="Y36" i="12" s="1"/>
  <c r="U36" i="12" l="1"/>
  <c r="V36" i="12" s="1"/>
  <c r="K35" i="14"/>
  <c r="L35" i="14" s="1"/>
  <c r="M35" i="14" s="1"/>
  <c r="BD35" i="14"/>
  <c r="N35" i="14"/>
  <c r="AD35" i="13"/>
  <c r="AC35" i="13"/>
  <c r="AE35" i="13" s="1"/>
  <c r="V35" i="13"/>
  <c r="Y35" i="13"/>
  <c r="X35" i="13"/>
  <c r="Z35" i="13" s="1"/>
  <c r="AA35" i="13" s="1"/>
  <c r="AB35" i="13" s="1"/>
  <c r="X36" i="12"/>
  <c r="Z36" i="12" s="1"/>
  <c r="AA36" i="12" s="1"/>
  <c r="AB36" i="12" s="1"/>
  <c r="AG36" i="12" s="1"/>
  <c r="W36" i="12" l="1"/>
  <c r="P35" i="14"/>
  <c r="O35" i="14"/>
  <c r="Q35" i="14" s="1"/>
  <c r="R35" i="14" s="1"/>
  <c r="S35" i="14" s="1"/>
  <c r="U35" i="14"/>
  <c r="T35" i="14"/>
  <c r="V35" i="14" s="1"/>
  <c r="AH35" i="13"/>
  <c r="AG35" i="13"/>
  <c r="AF35" i="13"/>
  <c r="AH36" i="12"/>
  <c r="AI36" i="12" s="1"/>
  <c r="AJ36" i="12" s="1"/>
  <c r="AK36" i="12" s="1"/>
  <c r="AQ36" i="12" s="1"/>
  <c r="AD36" i="12"/>
  <c r="AC36" i="12"/>
  <c r="W35" i="14" l="1"/>
  <c r="Y35" i="14"/>
  <c r="X35" i="14"/>
  <c r="Z35" i="14" s="1"/>
  <c r="AA35" i="14" s="1"/>
  <c r="AB35" i="14" s="1"/>
  <c r="AL35" i="13"/>
  <c r="AM35" i="13"/>
  <c r="AO35" i="13" s="1"/>
  <c r="AI35" i="13"/>
  <c r="AJ35" i="13" s="1"/>
  <c r="AK35" i="13" s="1"/>
  <c r="AP36" i="12"/>
  <c r="AR36" i="12" s="1"/>
  <c r="AS36" i="12" s="1"/>
  <c r="AT36" i="12" s="1"/>
  <c r="AZ36" i="12" s="1"/>
  <c r="AF36" i="12"/>
  <c r="AM36" i="12" s="1"/>
  <c r="AE36" i="12"/>
  <c r="AH35" i="14" l="1"/>
  <c r="AG35" i="14"/>
  <c r="AI35" i="14" s="1"/>
  <c r="AJ35" i="14" s="1"/>
  <c r="AK35" i="14" s="1"/>
  <c r="AC35" i="14"/>
  <c r="AD35" i="14"/>
  <c r="AQ35" i="13"/>
  <c r="AP35" i="13"/>
  <c r="AV35" i="13"/>
  <c r="AU35" i="13"/>
  <c r="AW35" i="13" s="1"/>
  <c r="AN35" i="13"/>
  <c r="AL36" i="12"/>
  <c r="AN36" i="12" s="1"/>
  <c r="AE35" i="14" l="1"/>
  <c r="AF35" i="14"/>
  <c r="AP35" i="14"/>
  <c r="AQ35" i="14"/>
  <c r="AX35" i="13"/>
  <c r="BA35" i="13" s="1"/>
  <c r="AR35" i="13"/>
  <c r="AS35" i="13" s="1"/>
  <c r="AT35" i="13" s="1"/>
  <c r="AZ35" i="13" s="1"/>
  <c r="AO36" i="12"/>
  <c r="AV36" i="12" s="1"/>
  <c r="AR35" i="14" l="1"/>
  <c r="AS35" i="14" s="1"/>
  <c r="AT35" i="14" s="1"/>
  <c r="AZ35" i="14" s="1"/>
  <c r="AM35" i="14"/>
  <c r="AL35" i="14"/>
  <c r="AY35" i="13"/>
  <c r="AU36" i="12"/>
  <c r="AX36" i="12" s="1"/>
  <c r="BA36" i="12" s="1"/>
  <c r="AO35" i="14" l="1"/>
  <c r="AU35" i="14"/>
  <c r="AV35" i="14"/>
  <c r="AX35" i="14" s="1"/>
  <c r="BA35" i="14" s="1"/>
  <c r="AN35" i="14"/>
  <c r="BB35" i="13"/>
  <c r="BF35" i="13"/>
  <c r="BG35" i="13" s="1"/>
  <c r="AW36" i="12"/>
  <c r="AY36" i="12" s="1"/>
  <c r="AW35" i="14" l="1"/>
  <c r="AY35" i="14" s="1"/>
  <c r="C36" i="13"/>
  <c r="BE35" i="13"/>
  <c r="BB36" i="12"/>
  <c r="BF36" i="12"/>
  <c r="BG36" i="12" s="1"/>
  <c r="BB35" i="14" l="1"/>
  <c r="BF35" i="14"/>
  <c r="BG35" i="14" s="1"/>
  <c r="D36" i="13"/>
  <c r="E36" i="13"/>
  <c r="F36" i="13" s="1"/>
  <c r="BE36" i="12"/>
  <c r="C37" i="12"/>
  <c r="D37" i="12" s="1"/>
  <c r="BE35" i="14" l="1"/>
  <c r="C36" i="14"/>
  <c r="J36" i="13"/>
  <c r="G36" i="13"/>
  <c r="H36" i="13" s="1"/>
  <c r="I36" i="13" s="1"/>
  <c r="E37" i="12"/>
  <c r="F37" i="12" s="1"/>
  <c r="E36" i="14" l="1"/>
  <c r="D36" i="14"/>
  <c r="BD36" i="13"/>
  <c r="K36" i="13"/>
  <c r="L36" i="13" s="1"/>
  <c r="M36" i="13" s="1"/>
  <c r="N36" i="13"/>
  <c r="J37" i="12"/>
  <c r="G37" i="12"/>
  <c r="H37" i="12" s="1"/>
  <c r="I37" i="12" s="1"/>
  <c r="F36" i="14" l="1"/>
  <c r="P36" i="13"/>
  <c r="O36" i="13"/>
  <c r="Q36" i="13" s="1"/>
  <c r="R36" i="13" s="1"/>
  <c r="S36" i="13" s="1"/>
  <c r="U36" i="13"/>
  <c r="T36" i="13"/>
  <c r="V36" i="13" s="1"/>
  <c r="N37" i="12"/>
  <c r="BD37" i="12"/>
  <c r="K37" i="12"/>
  <c r="L37" i="12" s="1"/>
  <c r="M37" i="12" s="1"/>
  <c r="J36" i="14" l="1"/>
  <c r="G36" i="14"/>
  <c r="H36" i="14" s="1"/>
  <c r="I36" i="14" s="1"/>
  <c r="W36" i="13"/>
  <c r="X36" i="13"/>
  <c r="Y36" i="13"/>
  <c r="O37" i="12"/>
  <c r="P37" i="12"/>
  <c r="T37" i="12"/>
  <c r="U37" i="12"/>
  <c r="K36" i="14" l="1"/>
  <c r="L36" i="14" s="1"/>
  <c r="M36" i="14" s="1"/>
  <c r="BD36" i="14"/>
  <c r="N36" i="14"/>
  <c r="Z36" i="13"/>
  <c r="AA36" i="13" s="1"/>
  <c r="AB36" i="13" s="1"/>
  <c r="AD36" i="13"/>
  <c r="AC36" i="13"/>
  <c r="AE36" i="13" s="1"/>
  <c r="W37" i="12"/>
  <c r="AD37" i="12" s="1"/>
  <c r="Q37" i="12"/>
  <c r="R37" i="12" s="1"/>
  <c r="S37" i="12" s="1"/>
  <c r="X37" i="12" s="1"/>
  <c r="V37" i="12"/>
  <c r="T36" i="14" l="1"/>
  <c r="U36" i="14"/>
  <c r="P36" i="14"/>
  <c r="O36" i="14"/>
  <c r="Q36" i="14" s="1"/>
  <c r="R36" i="14" s="1"/>
  <c r="S36" i="14" s="1"/>
  <c r="AH36" i="13"/>
  <c r="AG36" i="13"/>
  <c r="AI36" i="13" s="1"/>
  <c r="AJ36" i="13" s="1"/>
  <c r="AK36" i="13" s="1"/>
  <c r="AF36" i="13"/>
  <c r="AC37" i="12"/>
  <c r="AE37" i="12" s="1"/>
  <c r="Y37" i="12"/>
  <c r="Z37" i="12" s="1"/>
  <c r="AA37" i="12" s="1"/>
  <c r="AB37" i="12" s="1"/>
  <c r="AH37" i="12" s="1"/>
  <c r="V36" i="14" l="1"/>
  <c r="Y36" i="14"/>
  <c r="X36" i="14"/>
  <c r="W36" i="14"/>
  <c r="AM36" i="13"/>
  <c r="AL36" i="13"/>
  <c r="AP36" i="13"/>
  <c r="AQ36" i="13"/>
  <c r="AF37" i="12"/>
  <c r="AL37" i="12" s="1"/>
  <c r="AG37" i="12"/>
  <c r="AI37" i="12" s="1"/>
  <c r="AJ37" i="12" s="1"/>
  <c r="AK37" i="12" s="1"/>
  <c r="Z36" i="14" l="1"/>
  <c r="AA36" i="14" s="1"/>
  <c r="AB36" i="14" s="1"/>
  <c r="AD36" i="14"/>
  <c r="AC36" i="14"/>
  <c r="AH36" i="14"/>
  <c r="AG36" i="14"/>
  <c r="AI36" i="14" s="1"/>
  <c r="AJ36" i="14" s="1"/>
  <c r="AK36" i="14" s="1"/>
  <c r="AN36" i="13"/>
  <c r="AR36" i="13"/>
  <c r="AS36" i="13" s="1"/>
  <c r="AT36" i="13" s="1"/>
  <c r="AZ36" i="13" s="1"/>
  <c r="AO36" i="13"/>
  <c r="AM37" i="12"/>
  <c r="AN37" i="12" s="1"/>
  <c r="AP37" i="12"/>
  <c r="AQ37" i="12"/>
  <c r="AO37" i="12" l="1"/>
  <c r="AV37" i="12" s="1"/>
  <c r="AF36" i="14"/>
  <c r="AM36" i="14" s="1"/>
  <c r="AQ36" i="14"/>
  <c r="AP36" i="14"/>
  <c r="AR36" i="14" s="1"/>
  <c r="AS36" i="14" s="1"/>
  <c r="AT36" i="14" s="1"/>
  <c r="AZ36" i="14" s="1"/>
  <c r="AE36" i="14"/>
  <c r="AV36" i="13"/>
  <c r="AU36" i="13"/>
  <c r="AR37" i="12"/>
  <c r="AS37" i="12" s="1"/>
  <c r="AT37" i="12" s="1"/>
  <c r="AZ37" i="12" s="1"/>
  <c r="AU37" i="12" l="1"/>
  <c r="AX37" i="12" s="1"/>
  <c r="BA37" i="12" s="1"/>
  <c r="AL36" i="14"/>
  <c r="AO36" i="14"/>
  <c r="AV36" i="14"/>
  <c r="AU36" i="14"/>
  <c r="AW36" i="14" s="1"/>
  <c r="AN36" i="14"/>
  <c r="AX36" i="13"/>
  <c r="BA36" i="13" s="1"/>
  <c r="AW36" i="13"/>
  <c r="AY36" i="13" s="1"/>
  <c r="AW37" i="12"/>
  <c r="AY37" i="12" s="1"/>
  <c r="AY36" i="14" l="1"/>
  <c r="BF36" i="14" s="1"/>
  <c r="BG36" i="14" s="1"/>
  <c r="AX36" i="14"/>
  <c r="BA36" i="14" s="1"/>
  <c r="BB36" i="13"/>
  <c r="BF36" i="13"/>
  <c r="BG36" i="13" s="1"/>
  <c r="BF37" i="12"/>
  <c r="BG37" i="12" s="1"/>
  <c r="BB37" i="12"/>
  <c r="BB36" i="14" l="1"/>
  <c r="C37" i="14"/>
  <c r="BE36" i="14"/>
  <c r="BE36" i="13"/>
  <c r="C37" i="13"/>
  <c r="BE37" i="12"/>
  <c r="C38" i="12"/>
  <c r="E37" i="14" l="1"/>
  <c r="D37" i="14"/>
  <c r="E37" i="13"/>
  <c r="D37" i="13"/>
  <c r="D38" i="12"/>
  <c r="E38" i="12"/>
  <c r="F37" i="14" l="1"/>
  <c r="J37" i="14"/>
  <c r="G37" i="14"/>
  <c r="H37" i="14" s="1"/>
  <c r="I37" i="14" s="1"/>
  <c r="F37" i="13"/>
  <c r="J37" i="13"/>
  <c r="G37" i="13"/>
  <c r="H37" i="13" s="1"/>
  <c r="I37" i="13" s="1"/>
  <c r="F38" i="12"/>
  <c r="J38" i="12" s="1"/>
  <c r="BD37" i="14" l="1"/>
  <c r="K37" i="14"/>
  <c r="L37" i="14" s="1"/>
  <c r="M37" i="14" s="1"/>
  <c r="N37" i="14"/>
  <c r="BD37" i="13"/>
  <c r="K37" i="13"/>
  <c r="L37" i="13" s="1"/>
  <c r="M37" i="13" s="1"/>
  <c r="N37" i="13"/>
  <c r="G38" i="12"/>
  <c r="H38" i="12" s="1"/>
  <c r="I38" i="12" s="1"/>
  <c r="K38" i="12" s="1"/>
  <c r="L38" i="12" s="1"/>
  <c r="M38" i="12" s="1"/>
  <c r="O37" i="14" l="1"/>
  <c r="P37" i="14"/>
  <c r="U37" i="14"/>
  <c r="T37" i="14"/>
  <c r="V37" i="14" s="1"/>
  <c r="P37" i="13"/>
  <c r="O37" i="13"/>
  <c r="Q37" i="13" s="1"/>
  <c r="R37" i="13" s="1"/>
  <c r="S37" i="13" s="1"/>
  <c r="T37" i="13"/>
  <c r="U37" i="13"/>
  <c r="BD38" i="12"/>
  <c r="N38" i="12"/>
  <c r="U38" i="12" s="1"/>
  <c r="P38" i="12"/>
  <c r="O38" i="12"/>
  <c r="Q37" i="14" l="1"/>
  <c r="R37" i="14" s="1"/>
  <c r="S37" i="14" s="1"/>
  <c r="W37" i="14"/>
  <c r="Y37" i="14"/>
  <c r="X37" i="14"/>
  <c r="V37" i="13"/>
  <c r="W37" i="13"/>
  <c r="X37" i="13"/>
  <c r="Y37" i="13"/>
  <c r="T38" i="12"/>
  <c r="Q38" i="12"/>
  <c r="R38" i="12" s="1"/>
  <c r="S38" i="12" s="1"/>
  <c r="Y38" i="12" s="1"/>
  <c r="W38" i="12"/>
  <c r="AD38" i="12" s="1"/>
  <c r="V38" i="12"/>
  <c r="AD37" i="14" l="1"/>
  <c r="AC37" i="14"/>
  <c r="Z37" i="14"/>
  <c r="AA37" i="14" s="1"/>
  <c r="AB37" i="14" s="1"/>
  <c r="Z37" i="13"/>
  <c r="AA37" i="13" s="1"/>
  <c r="AB37" i="13" s="1"/>
  <c r="AD37" i="13"/>
  <c r="AC37" i="13"/>
  <c r="X38" i="12"/>
  <c r="AC38" i="12"/>
  <c r="AF38" i="12" s="1"/>
  <c r="Z38" i="12"/>
  <c r="AA38" i="12" s="1"/>
  <c r="AB38" i="12" s="1"/>
  <c r="AF37" i="14" l="1"/>
  <c r="AM37" i="14"/>
  <c r="AL37" i="14"/>
  <c r="AN37" i="14" s="1"/>
  <c r="AE37" i="14"/>
  <c r="AG37" i="14"/>
  <c r="AH37" i="14"/>
  <c r="AF37" i="13"/>
  <c r="AL37" i="13"/>
  <c r="AM37" i="13"/>
  <c r="AO37" i="13" s="1"/>
  <c r="AE37" i="13"/>
  <c r="AH37" i="13"/>
  <c r="AG37" i="13"/>
  <c r="AI37" i="13" s="1"/>
  <c r="AJ37" i="13" s="1"/>
  <c r="AK37" i="13" s="1"/>
  <c r="AE38" i="12"/>
  <c r="AH38" i="12"/>
  <c r="AG38" i="12"/>
  <c r="AL38" i="12"/>
  <c r="AM38" i="12"/>
  <c r="AO37" i="14" l="1"/>
  <c r="AI37" i="14"/>
  <c r="AJ37" i="14" s="1"/>
  <c r="AK37" i="14" s="1"/>
  <c r="AN37" i="13"/>
  <c r="AV37" i="13"/>
  <c r="AU37" i="13"/>
  <c r="AP37" i="13"/>
  <c r="AQ37" i="13"/>
  <c r="AO38" i="12"/>
  <c r="AV38" i="12" s="1"/>
  <c r="AN38" i="12"/>
  <c r="AI38" i="12"/>
  <c r="AJ38" i="12" s="1"/>
  <c r="AK38" i="12" s="1"/>
  <c r="AQ37" i="14" l="1"/>
  <c r="AP37" i="14"/>
  <c r="AV37" i="14"/>
  <c r="AU37" i="14"/>
  <c r="AX37" i="13"/>
  <c r="BA37" i="13" s="1"/>
  <c r="AW37" i="13"/>
  <c r="AR37" i="13"/>
  <c r="AS37" i="13" s="1"/>
  <c r="AT37" i="13" s="1"/>
  <c r="AZ37" i="13" s="1"/>
  <c r="AU38" i="12"/>
  <c r="AX38" i="12" s="1"/>
  <c r="BA38" i="12" s="1"/>
  <c r="AQ38" i="12"/>
  <c r="AP38" i="12"/>
  <c r="AR37" i="14" l="1"/>
  <c r="AS37" i="14" s="1"/>
  <c r="AT37" i="14" s="1"/>
  <c r="AZ37" i="14" s="1"/>
  <c r="AW37" i="14"/>
  <c r="AY37" i="14" s="1"/>
  <c r="BF37" i="14"/>
  <c r="BG37" i="14" s="1"/>
  <c r="AX37" i="14"/>
  <c r="BA37" i="14" s="1"/>
  <c r="BB37" i="14" s="1"/>
  <c r="AY37" i="13"/>
  <c r="AW38" i="12"/>
  <c r="AR38" i="12"/>
  <c r="AS38" i="12" s="1"/>
  <c r="AT38" i="12" s="1"/>
  <c r="AZ38" i="12" s="1"/>
  <c r="BE37" i="14" l="1"/>
  <c r="C38" i="14"/>
  <c r="BB37" i="13"/>
  <c r="BF37" i="13"/>
  <c r="BG37" i="13" s="1"/>
  <c r="AY38" i="12"/>
  <c r="BF38" i="12" s="1"/>
  <c r="BG38" i="12" s="1"/>
  <c r="E38" i="14" l="1"/>
  <c r="D38" i="14"/>
  <c r="BE37" i="13"/>
  <c r="C38" i="13"/>
  <c r="BB38" i="12"/>
  <c r="C39" i="12" s="1"/>
  <c r="F38" i="14" l="1"/>
  <c r="D38" i="13"/>
  <c r="E38" i="13"/>
  <c r="BE38" i="12"/>
  <c r="D39" i="12"/>
  <c r="E39" i="12"/>
  <c r="J38" i="14" l="1"/>
  <c r="G38" i="14"/>
  <c r="H38" i="14" s="1"/>
  <c r="I38" i="14" s="1"/>
  <c r="F38" i="13"/>
  <c r="F39" i="12"/>
  <c r="G39" i="12" s="1"/>
  <c r="H39" i="12" s="1"/>
  <c r="I39" i="12" s="1"/>
  <c r="N38" i="14" l="1"/>
  <c r="K38" i="14"/>
  <c r="L38" i="14" s="1"/>
  <c r="M38" i="14" s="1"/>
  <c r="BD38" i="14"/>
  <c r="J38" i="13"/>
  <c r="G38" i="13"/>
  <c r="H38" i="13" s="1"/>
  <c r="I38" i="13" s="1"/>
  <c r="J39" i="12"/>
  <c r="N39" i="12" s="1"/>
  <c r="K39" i="12"/>
  <c r="L39" i="12" s="1"/>
  <c r="BD39" i="12"/>
  <c r="U38" i="14" l="1"/>
  <c r="T38" i="14"/>
  <c r="V38" i="14" s="1"/>
  <c r="P38" i="14"/>
  <c r="O38" i="14"/>
  <c r="BD38" i="13"/>
  <c r="K38" i="13"/>
  <c r="L38" i="13" s="1"/>
  <c r="M38" i="13" s="1"/>
  <c r="N38" i="13"/>
  <c r="M39" i="12"/>
  <c r="P39" i="12" s="1"/>
  <c r="T39" i="12"/>
  <c r="U39" i="12"/>
  <c r="Q38" i="14" l="1"/>
  <c r="R38" i="14" s="1"/>
  <c r="S38" i="14" s="1"/>
  <c r="W38" i="14"/>
  <c r="T38" i="13"/>
  <c r="U38" i="13"/>
  <c r="W38" i="13" s="1"/>
  <c r="P38" i="13"/>
  <c r="O38" i="13"/>
  <c r="Q38" i="13" s="1"/>
  <c r="R38" i="13" s="1"/>
  <c r="S38" i="13" s="1"/>
  <c r="O39" i="12"/>
  <c r="Q39" i="12" s="1"/>
  <c r="R39" i="12" s="1"/>
  <c r="S39" i="12" s="1"/>
  <c r="W39" i="12"/>
  <c r="AD39" i="12" s="1"/>
  <c r="V39" i="12"/>
  <c r="Y39" i="12" l="1"/>
  <c r="X39" i="12"/>
  <c r="Z39" i="12" s="1"/>
  <c r="AA39" i="12" s="1"/>
  <c r="AB39" i="12" s="1"/>
  <c r="AG39" i="12" s="1"/>
  <c r="AC38" i="14"/>
  <c r="AD38" i="14"/>
  <c r="Y38" i="14"/>
  <c r="X38" i="14"/>
  <c r="Y38" i="13"/>
  <c r="X38" i="13"/>
  <c r="Z38" i="13" s="1"/>
  <c r="AA38" i="13" s="1"/>
  <c r="AB38" i="13" s="1"/>
  <c r="AD38" i="13"/>
  <c r="AC38" i="13"/>
  <c r="V38" i="13"/>
  <c r="AC39" i="12"/>
  <c r="AE39" i="12" s="1"/>
  <c r="AF39" i="12" l="1"/>
  <c r="AE38" i="14"/>
  <c r="Z38" i="14"/>
  <c r="AA38" i="14" s="1"/>
  <c r="AB38" i="14" s="1"/>
  <c r="AF38" i="14"/>
  <c r="AF38" i="13"/>
  <c r="AH38" i="13"/>
  <c r="AG38" i="13"/>
  <c r="AE38" i="13"/>
  <c r="AL38" i="13"/>
  <c r="AM38" i="13"/>
  <c r="AO38" i="13" s="1"/>
  <c r="AH39" i="12"/>
  <c r="AI39" i="12" s="1"/>
  <c r="AJ39" i="12" s="1"/>
  <c r="AK39" i="12" s="1"/>
  <c r="AM39" i="12"/>
  <c r="AL39" i="12"/>
  <c r="AH38" i="14" l="1"/>
  <c r="AG38" i="14"/>
  <c r="AM38" i="14"/>
  <c r="AL38" i="14"/>
  <c r="AN38" i="14" s="1"/>
  <c r="AN38" i="13"/>
  <c r="AV38" i="13"/>
  <c r="AU38" i="13"/>
  <c r="AW38" i="13" s="1"/>
  <c r="AI38" i="13"/>
  <c r="AJ38" i="13" s="1"/>
  <c r="AK38" i="13" s="1"/>
  <c r="AN39" i="12"/>
  <c r="AP39" i="12"/>
  <c r="AQ39" i="12"/>
  <c r="AO39" i="12"/>
  <c r="AO38" i="14" l="1"/>
  <c r="AU38" i="14" s="1"/>
  <c r="AI38" i="14"/>
  <c r="AJ38" i="14" s="1"/>
  <c r="AK38" i="14" s="1"/>
  <c r="AX38" i="13"/>
  <c r="BA38" i="13" s="1"/>
  <c r="AQ38" i="13"/>
  <c r="AP38" i="13"/>
  <c r="AU39" i="12"/>
  <c r="AV39" i="12"/>
  <c r="AR39" i="12"/>
  <c r="AS39" i="12" s="1"/>
  <c r="AT39" i="12" s="1"/>
  <c r="AZ39" i="12" s="1"/>
  <c r="AV38" i="14" l="1"/>
  <c r="AX38" i="14" s="1"/>
  <c r="BA38" i="14" s="1"/>
  <c r="AP38" i="14"/>
  <c r="AQ38" i="14"/>
  <c r="AR38" i="13"/>
  <c r="AX39" i="12"/>
  <c r="BA39" i="12" s="1"/>
  <c r="AW39" i="12"/>
  <c r="AY39" i="12" s="1"/>
  <c r="AW38" i="14" l="1"/>
  <c r="AR38" i="14"/>
  <c r="AS38" i="14" s="1"/>
  <c r="AT38" i="14" s="1"/>
  <c r="AZ38" i="14" s="1"/>
  <c r="AY38" i="14"/>
  <c r="AS38" i="13"/>
  <c r="AT38" i="13" s="1"/>
  <c r="AZ38" i="13" s="1"/>
  <c r="AY38" i="13"/>
  <c r="BF39" i="12"/>
  <c r="BG39" i="12" s="1"/>
  <c r="BB39" i="12"/>
  <c r="BB38" i="14" l="1"/>
  <c r="BF38" i="14"/>
  <c r="BG38" i="14" s="1"/>
  <c r="BB38" i="13"/>
  <c r="BF38" i="13"/>
  <c r="BG38" i="13" s="1"/>
  <c r="BE39" i="12"/>
  <c r="C40" i="12"/>
  <c r="BE38" i="14" l="1"/>
  <c r="C39" i="14"/>
  <c r="BE38" i="13"/>
  <c r="C39" i="13"/>
  <c r="D40" i="12"/>
  <c r="E40" i="12"/>
  <c r="F40" i="12" s="1"/>
  <c r="E39" i="14" l="1"/>
  <c r="D39" i="14"/>
  <c r="E39" i="13"/>
  <c r="D39" i="13"/>
  <c r="G40" i="12"/>
  <c r="H40" i="12" s="1"/>
  <c r="I40" i="12" s="1"/>
  <c r="J40" i="12"/>
  <c r="F39" i="14" l="1"/>
  <c r="J39" i="14" s="1"/>
  <c r="F39" i="13"/>
  <c r="N40" i="12"/>
  <c r="BD40" i="12"/>
  <c r="K40" i="12"/>
  <c r="L40" i="12" s="1"/>
  <c r="M40" i="12" s="1"/>
  <c r="G39" i="14" l="1"/>
  <c r="H39" i="14" s="1"/>
  <c r="I39" i="14" s="1"/>
  <c r="K39" i="14"/>
  <c r="L39" i="14" s="1"/>
  <c r="M39" i="14" s="1"/>
  <c r="BD39" i="14"/>
  <c r="N39" i="14"/>
  <c r="J39" i="13"/>
  <c r="G39" i="13"/>
  <c r="H39" i="13" s="1"/>
  <c r="I39" i="13" s="1"/>
  <c r="P40" i="12"/>
  <c r="O40" i="12"/>
  <c r="T40" i="12"/>
  <c r="U40" i="12"/>
  <c r="P39" i="14" l="1"/>
  <c r="O39" i="14"/>
  <c r="Q39" i="14" s="1"/>
  <c r="R39" i="14" s="1"/>
  <c r="S39" i="14" s="1"/>
  <c r="U39" i="14"/>
  <c r="T39" i="14"/>
  <c r="V39" i="14" s="1"/>
  <c r="K39" i="13"/>
  <c r="L39" i="13" s="1"/>
  <c r="M39" i="13" s="1"/>
  <c r="BD39" i="13"/>
  <c r="N39" i="13"/>
  <c r="Q40" i="12"/>
  <c r="R40" i="12" s="1"/>
  <c r="S40" i="12" s="1"/>
  <c r="W40" i="12"/>
  <c r="AD40" i="12" s="1"/>
  <c r="Y40" i="12"/>
  <c r="X40" i="12"/>
  <c r="V40" i="12"/>
  <c r="W39" i="14" l="1"/>
  <c r="Y39" i="14"/>
  <c r="X39" i="14"/>
  <c r="P39" i="13"/>
  <c r="O39" i="13"/>
  <c r="Q39" i="13" s="1"/>
  <c r="R39" i="13" s="1"/>
  <c r="S39" i="13" s="1"/>
  <c r="U39" i="13"/>
  <c r="T39" i="13"/>
  <c r="V39" i="13" s="1"/>
  <c r="AC40" i="12"/>
  <c r="AF40" i="12" s="1"/>
  <c r="Z40" i="12"/>
  <c r="AA40" i="12" s="1"/>
  <c r="AB40" i="12" s="1"/>
  <c r="AH40" i="12" s="1"/>
  <c r="AE40" i="12" l="1"/>
  <c r="AD39" i="14"/>
  <c r="AC39" i="14"/>
  <c r="Z39" i="14"/>
  <c r="AA39" i="14" s="1"/>
  <c r="AB39" i="14" s="1"/>
  <c r="Y39" i="13"/>
  <c r="X39" i="13"/>
  <c r="Z39" i="13" s="1"/>
  <c r="AA39" i="13" s="1"/>
  <c r="AB39" i="13" s="1"/>
  <c r="W39" i="13"/>
  <c r="AG40" i="12"/>
  <c r="AI40" i="12" s="1"/>
  <c r="AJ40" i="12" s="1"/>
  <c r="AK40" i="12" s="1"/>
  <c r="AL40" i="12"/>
  <c r="AM40" i="12"/>
  <c r="AE39" i="14" l="1"/>
  <c r="AH39" i="14"/>
  <c r="AG39" i="14"/>
  <c r="AI39" i="14" s="1"/>
  <c r="AJ39" i="14" s="1"/>
  <c r="AK39" i="14" s="1"/>
  <c r="AF39" i="14"/>
  <c r="AH39" i="13"/>
  <c r="AG39" i="13"/>
  <c r="AI39" i="13" s="1"/>
  <c r="AJ39" i="13" s="1"/>
  <c r="AK39" i="13" s="1"/>
  <c r="AC39" i="13"/>
  <c r="AD39" i="13"/>
  <c r="AF39" i="13" s="1"/>
  <c r="AQ40" i="12"/>
  <c r="AP40" i="12"/>
  <c r="AO40" i="12"/>
  <c r="AV40" i="12" s="1"/>
  <c r="AN40" i="12"/>
  <c r="AL39" i="14" l="1"/>
  <c r="AM39" i="14"/>
  <c r="AO39" i="14" s="1"/>
  <c r="AQ39" i="14"/>
  <c r="AP39" i="14"/>
  <c r="AR39" i="14" s="1"/>
  <c r="AS39" i="14" s="1"/>
  <c r="AT39" i="14" s="1"/>
  <c r="AZ39" i="14" s="1"/>
  <c r="AQ39" i="13"/>
  <c r="AP39" i="13"/>
  <c r="AR39" i="13" s="1"/>
  <c r="AS39" i="13" s="1"/>
  <c r="AT39" i="13" s="1"/>
  <c r="AZ39" i="13" s="1"/>
  <c r="AL39" i="13"/>
  <c r="AM39" i="13"/>
  <c r="AO39" i="13" s="1"/>
  <c r="AE39" i="13"/>
  <c r="AU40" i="12"/>
  <c r="AW40" i="12" s="1"/>
  <c r="AR40" i="12"/>
  <c r="AS40" i="12" s="1"/>
  <c r="AT40" i="12" s="1"/>
  <c r="AZ40" i="12" s="1"/>
  <c r="AV39" i="14" l="1"/>
  <c r="AU39" i="14"/>
  <c r="AW39" i="14" s="1"/>
  <c r="AN39" i="14"/>
  <c r="AU39" i="13"/>
  <c r="AV39" i="13"/>
  <c r="AX39" i="13" s="1"/>
  <c r="BA39" i="13" s="1"/>
  <c r="AN39" i="13"/>
  <c r="AY40" i="12"/>
  <c r="BF40" i="12" s="1"/>
  <c r="BG40" i="12" s="1"/>
  <c r="AX40" i="12"/>
  <c r="BA40" i="12" s="1"/>
  <c r="BB40" i="12" s="1"/>
  <c r="BE40" i="12" s="1"/>
  <c r="AY39" i="14" l="1"/>
  <c r="AX39" i="14"/>
  <c r="BA39" i="14" s="1"/>
  <c r="AW39" i="13"/>
  <c r="AY39" i="13" s="1"/>
  <c r="BB39" i="13"/>
  <c r="BF39" i="13"/>
  <c r="BG39" i="13" s="1"/>
  <c r="C41" i="12"/>
  <c r="D41" i="12" s="1"/>
  <c r="E41" i="12" l="1"/>
  <c r="F41" i="12" s="1"/>
  <c r="G41" i="12" s="1"/>
  <c r="H41" i="12" s="1"/>
  <c r="I41" i="12" s="1"/>
  <c r="BB39" i="14"/>
  <c r="BF39" i="14"/>
  <c r="BG39" i="14" s="1"/>
  <c r="C40" i="13"/>
  <c r="BE39" i="13"/>
  <c r="C40" i="14" l="1"/>
  <c r="BE39" i="14"/>
  <c r="D40" i="13"/>
  <c r="E40" i="13"/>
  <c r="J41" i="12"/>
  <c r="N41" i="12" s="1"/>
  <c r="K41" i="12"/>
  <c r="L41" i="12" s="1"/>
  <c r="BD41" i="12"/>
  <c r="E40" i="14" l="1"/>
  <c r="D40" i="14"/>
  <c r="F40" i="13"/>
  <c r="M41" i="12"/>
  <c r="P41" i="12" s="1"/>
  <c r="T41" i="12"/>
  <c r="U41" i="12"/>
  <c r="O41" i="12" l="1"/>
  <c r="F40" i="14"/>
  <c r="J40" i="14"/>
  <c r="G40" i="14"/>
  <c r="H40" i="14" s="1"/>
  <c r="I40" i="14" s="1"/>
  <c r="J40" i="13"/>
  <c r="G40" i="13"/>
  <c r="H40" i="13" s="1"/>
  <c r="I40" i="13" s="1"/>
  <c r="Q41" i="12"/>
  <c r="R41" i="12" s="1"/>
  <c r="S41" i="12" s="1"/>
  <c r="X41" i="12" s="1"/>
  <c r="W41" i="12"/>
  <c r="AD41" i="12" s="1"/>
  <c r="V41" i="12"/>
  <c r="N40" i="14" l="1"/>
  <c r="BD40" i="14"/>
  <c r="K40" i="14"/>
  <c r="L40" i="14" s="1"/>
  <c r="M40" i="14" s="1"/>
  <c r="BD40" i="13"/>
  <c r="K40" i="13"/>
  <c r="L40" i="13" s="1"/>
  <c r="M40" i="13" s="1"/>
  <c r="N40" i="13"/>
  <c r="AC41" i="12"/>
  <c r="AE41" i="12" s="1"/>
  <c r="Y41" i="12"/>
  <c r="Z41" i="12" s="1"/>
  <c r="AA41" i="12" s="1"/>
  <c r="AB41" i="12" s="1"/>
  <c r="AG41" i="12" s="1"/>
  <c r="O40" i="14" l="1"/>
  <c r="P40" i="14"/>
  <c r="U40" i="14"/>
  <c r="T40" i="14"/>
  <c r="V40" i="14" s="1"/>
  <c r="O40" i="13"/>
  <c r="P40" i="13"/>
  <c r="U40" i="13"/>
  <c r="T40" i="13"/>
  <c r="AF41" i="12"/>
  <c r="AM41" i="12" s="1"/>
  <c r="AH41" i="12"/>
  <c r="AI41" i="12" s="1"/>
  <c r="AJ41" i="12" s="1"/>
  <c r="AK41" i="12" s="1"/>
  <c r="AP41" i="12" s="1"/>
  <c r="W40" i="14" l="1"/>
  <c r="Q40" i="14"/>
  <c r="R40" i="14" s="1"/>
  <c r="S40" i="14" s="1"/>
  <c r="W40" i="13"/>
  <c r="AD40" i="13" s="1"/>
  <c r="AF40" i="13" s="1"/>
  <c r="AC40" i="13"/>
  <c r="V40" i="13"/>
  <c r="Q40" i="13"/>
  <c r="R40" i="13" s="1"/>
  <c r="S40" i="13" s="1"/>
  <c r="AL41" i="12"/>
  <c r="AN41" i="12" s="1"/>
  <c r="AQ41" i="12"/>
  <c r="AR41" i="12" s="1"/>
  <c r="AS41" i="12" s="1"/>
  <c r="AT41" i="12" s="1"/>
  <c r="AZ41" i="12" s="1"/>
  <c r="Y40" i="14" l="1"/>
  <c r="X40" i="14"/>
  <c r="AD40" i="14"/>
  <c r="AC40" i="14"/>
  <c r="AE40" i="14" s="1"/>
  <c r="Y40" i="13"/>
  <c r="X40" i="13"/>
  <c r="Z40" i="13" s="1"/>
  <c r="AA40" i="13" s="1"/>
  <c r="AB40" i="13" s="1"/>
  <c r="AE40" i="13"/>
  <c r="AM40" i="13"/>
  <c r="AL40" i="13"/>
  <c r="AN40" i="13" s="1"/>
  <c r="AO41" i="12"/>
  <c r="AV41" i="12" s="1"/>
  <c r="Z40" i="14" l="1"/>
  <c r="AA40" i="14" s="1"/>
  <c r="AB40" i="14" s="1"/>
  <c r="AG40" i="14"/>
  <c r="AI40" i="14" s="1"/>
  <c r="AJ40" i="14" s="1"/>
  <c r="AK40" i="14" s="1"/>
  <c r="AH40" i="14"/>
  <c r="AF40" i="14"/>
  <c r="AO40" i="13"/>
  <c r="AG40" i="13"/>
  <c r="AH40" i="13"/>
  <c r="AU41" i="12"/>
  <c r="AX41" i="12" s="1"/>
  <c r="BA41" i="12" s="1"/>
  <c r="AQ40" i="14" l="1"/>
  <c r="AP40" i="14"/>
  <c r="AR40" i="14" s="1"/>
  <c r="AS40" i="14" s="1"/>
  <c r="AT40" i="14" s="1"/>
  <c r="AZ40" i="14" s="1"/>
  <c r="AM40" i="14"/>
  <c r="AL40" i="14"/>
  <c r="AI40" i="13"/>
  <c r="AJ40" i="13" s="1"/>
  <c r="AK40" i="13" s="1"/>
  <c r="AQ40" i="13"/>
  <c r="AP40" i="13"/>
  <c r="AR40" i="13" s="1"/>
  <c r="AS40" i="13" s="1"/>
  <c r="AT40" i="13" s="1"/>
  <c r="AZ40" i="13" s="1"/>
  <c r="AV40" i="13"/>
  <c r="AU40" i="13"/>
  <c r="AW40" i="13" s="1"/>
  <c r="AY40" i="13" s="1"/>
  <c r="AW41" i="12"/>
  <c r="AY41" i="12" s="1"/>
  <c r="BF41" i="12" s="1"/>
  <c r="BG41" i="12" s="1"/>
  <c r="BB41" i="12" l="1"/>
  <c r="AO40" i="14"/>
  <c r="AV40" i="14" s="1"/>
  <c r="AN40" i="14"/>
  <c r="BF40" i="13"/>
  <c r="BG40" i="13" s="1"/>
  <c r="AX40" i="13"/>
  <c r="BA40" i="13" s="1"/>
  <c r="BB40" i="13" s="1"/>
  <c r="C42" i="12"/>
  <c r="BE41" i="12"/>
  <c r="AU40" i="14" l="1"/>
  <c r="AW40" i="14" s="1"/>
  <c r="AY40" i="14"/>
  <c r="AX40" i="14"/>
  <c r="BA40" i="14" s="1"/>
  <c r="BE40" i="13"/>
  <c r="C41" i="13"/>
  <c r="D42" i="12"/>
  <c r="E42" i="12"/>
  <c r="F42" i="12" l="1"/>
  <c r="G42" i="12" s="1"/>
  <c r="H42" i="12" s="1"/>
  <c r="I42" i="12" s="1"/>
  <c r="BB40" i="14"/>
  <c r="BF40" i="14"/>
  <c r="BG40" i="14" s="1"/>
  <c r="E41" i="13"/>
  <c r="D41" i="13"/>
  <c r="J42" i="12"/>
  <c r="BE40" i="14" l="1"/>
  <c r="C41" i="14"/>
  <c r="F41" i="13"/>
  <c r="N42" i="12"/>
  <c r="BD42" i="12"/>
  <c r="K42" i="12"/>
  <c r="L42" i="12" s="1"/>
  <c r="M42" i="12" s="1"/>
  <c r="E41" i="14" l="1"/>
  <c r="D41" i="14"/>
  <c r="J41" i="13"/>
  <c r="G41" i="13"/>
  <c r="H41" i="13" s="1"/>
  <c r="I41" i="13" s="1"/>
  <c r="P42" i="12"/>
  <c r="O42" i="12"/>
  <c r="U42" i="12"/>
  <c r="T42" i="12"/>
  <c r="F41" i="14" l="1"/>
  <c r="N41" i="13"/>
  <c r="K41" i="13"/>
  <c r="L41" i="13" s="1"/>
  <c r="M41" i="13" s="1"/>
  <c r="BD41" i="13"/>
  <c r="V42" i="12"/>
  <c r="Q42" i="12"/>
  <c r="R42" i="12" s="1"/>
  <c r="S42" i="12" s="1"/>
  <c r="X42" i="12" s="1"/>
  <c r="W42" i="12"/>
  <c r="J41" i="14" l="1"/>
  <c r="G41" i="14"/>
  <c r="H41" i="14" s="1"/>
  <c r="I41" i="14" s="1"/>
  <c r="U41" i="13"/>
  <c r="T41" i="13"/>
  <c r="O41" i="13"/>
  <c r="P41" i="13"/>
  <c r="Y42" i="12"/>
  <c r="Z42" i="12" s="1"/>
  <c r="AA42" i="12" s="1"/>
  <c r="AB42" i="12" s="1"/>
  <c r="AH42" i="12" s="1"/>
  <c r="AC42" i="12"/>
  <c r="AD42" i="12"/>
  <c r="K41" i="14" l="1"/>
  <c r="L41" i="14" s="1"/>
  <c r="M41" i="14" s="1"/>
  <c r="BD41" i="14"/>
  <c r="N41" i="14"/>
  <c r="W41" i="13"/>
  <c r="V41" i="13"/>
  <c r="Q41" i="13"/>
  <c r="R41" i="13" s="1"/>
  <c r="S41" i="13" s="1"/>
  <c r="AC41" i="13"/>
  <c r="AD41" i="13"/>
  <c r="AG42" i="12"/>
  <c r="AI42" i="12" s="1"/>
  <c r="AJ42" i="12" s="1"/>
  <c r="AK42" i="12" s="1"/>
  <c r="AP42" i="12" s="1"/>
  <c r="AE42" i="12"/>
  <c r="AF42" i="12"/>
  <c r="P41" i="14" l="1"/>
  <c r="O41" i="14"/>
  <c r="Q41" i="14" s="1"/>
  <c r="R41" i="14" s="1"/>
  <c r="S41" i="14" s="1"/>
  <c r="U41" i="14"/>
  <c r="T41" i="14"/>
  <c r="AF41" i="13"/>
  <c r="Y41" i="13"/>
  <c r="X41" i="13"/>
  <c r="Z41" i="13" s="1"/>
  <c r="AA41" i="13" s="1"/>
  <c r="AB41" i="13" s="1"/>
  <c r="AM41" i="13"/>
  <c r="AL41" i="13"/>
  <c r="AN41" i="13" s="1"/>
  <c r="AE41" i="13"/>
  <c r="AQ42" i="12"/>
  <c r="AR42" i="12" s="1"/>
  <c r="AS42" i="12" s="1"/>
  <c r="AT42" i="12" s="1"/>
  <c r="AZ42" i="12" s="1"/>
  <c r="AL42" i="12"/>
  <c r="AM42" i="12"/>
  <c r="V41" i="14" l="1"/>
  <c r="W41" i="14"/>
  <c r="Y41" i="14"/>
  <c r="X41" i="14"/>
  <c r="AO41" i="13"/>
  <c r="AG41" i="13"/>
  <c r="AH41" i="13"/>
  <c r="AO42" i="12"/>
  <c r="AU42" i="12" s="1"/>
  <c r="AN42" i="12"/>
  <c r="AC41" i="14" l="1"/>
  <c r="AD41" i="14"/>
  <c r="Z41" i="14"/>
  <c r="AA41" i="14" s="1"/>
  <c r="AB41" i="14" s="1"/>
  <c r="AI41" i="13"/>
  <c r="AJ41" i="13" s="1"/>
  <c r="AK41" i="13" s="1"/>
  <c r="AQ41" i="13" s="1"/>
  <c r="AP41" i="13"/>
  <c r="AU41" i="13"/>
  <c r="AV41" i="13"/>
  <c r="AX41" i="13" s="1"/>
  <c r="BA41" i="13" s="1"/>
  <c r="AV42" i="12"/>
  <c r="AW42" i="12" s="1"/>
  <c r="AY42" i="12" s="1"/>
  <c r="AE41" i="14" l="1"/>
  <c r="AH41" i="14"/>
  <c r="AG41" i="14"/>
  <c r="AI41" i="14" s="1"/>
  <c r="AJ41" i="14" s="1"/>
  <c r="AK41" i="14" s="1"/>
  <c r="AF41" i="14"/>
  <c r="AR41" i="13"/>
  <c r="AS41" i="13" s="1"/>
  <c r="AT41" i="13" s="1"/>
  <c r="AZ41" i="13" s="1"/>
  <c r="AW41" i="13"/>
  <c r="AY41" i="13" s="1"/>
  <c r="AX42" i="12"/>
  <c r="BA42" i="12" s="1"/>
  <c r="BB42" i="12" s="1"/>
  <c r="BF42" i="12"/>
  <c r="BG42" i="12" s="1"/>
  <c r="AM41" i="14" l="1"/>
  <c r="AL41" i="14"/>
  <c r="AQ41" i="14"/>
  <c r="AP41" i="14"/>
  <c r="AR41" i="14" s="1"/>
  <c r="AS41" i="14" s="1"/>
  <c r="AT41" i="14" s="1"/>
  <c r="AZ41" i="14" s="1"/>
  <c r="BB41" i="13"/>
  <c r="BF41" i="13"/>
  <c r="BG41" i="13" s="1"/>
  <c r="BE42" i="12"/>
  <c r="C43" i="12"/>
  <c r="AO41" i="14" l="1"/>
  <c r="AU41" i="14"/>
  <c r="AV41" i="14"/>
  <c r="AN41" i="14"/>
  <c r="BE41" i="13"/>
  <c r="C42" i="13"/>
  <c r="E43" i="12"/>
  <c r="D43" i="12"/>
  <c r="AW41" i="14" l="1"/>
  <c r="AY41" i="14" s="1"/>
  <c r="AX41" i="14"/>
  <c r="BA41" i="14" s="1"/>
  <c r="BB41" i="14"/>
  <c r="BF41" i="14"/>
  <c r="BG41" i="14" s="1"/>
  <c r="E42" i="13"/>
  <c r="D42" i="13"/>
  <c r="F43" i="12"/>
  <c r="J43" i="12" s="1"/>
  <c r="G43" i="12" l="1"/>
  <c r="H43" i="12" s="1"/>
  <c r="I43" i="12" s="1"/>
  <c r="BE41" i="14"/>
  <c r="C42" i="14"/>
  <c r="F42" i="13"/>
  <c r="N43" i="12"/>
  <c r="BD43" i="12"/>
  <c r="K43" i="12"/>
  <c r="L43" i="12" s="1"/>
  <c r="M43" i="12" s="1"/>
  <c r="E42" i="14" l="1"/>
  <c r="D42" i="14"/>
  <c r="J42" i="13"/>
  <c r="G42" i="13"/>
  <c r="H42" i="13" s="1"/>
  <c r="I42" i="13" s="1"/>
  <c r="P43" i="12"/>
  <c r="O43" i="12"/>
  <c r="T43" i="12"/>
  <c r="U43" i="12"/>
  <c r="F42" i="14" l="1"/>
  <c r="N42" i="13"/>
  <c r="K42" i="13"/>
  <c r="L42" i="13" s="1"/>
  <c r="M42" i="13" s="1"/>
  <c r="BD42" i="13"/>
  <c r="Q43" i="12"/>
  <c r="R43" i="12" s="1"/>
  <c r="S43" i="12" s="1"/>
  <c r="Y43" i="12" s="1"/>
  <c r="V43" i="12"/>
  <c r="W43" i="12"/>
  <c r="J42" i="14" l="1"/>
  <c r="G42" i="14"/>
  <c r="H42" i="14" s="1"/>
  <c r="I42" i="14" s="1"/>
  <c r="U42" i="13"/>
  <c r="T42" i="13"/>
  <c r="V42" i="13" s="1"/>
  <c r="P42" i="13"/>
  <c r="O42" i="13"/>
  <c r="Q42" i="13" s="1"/>
  <c r="R42" i="13" s="1"/>
  <c r="S42" i="13" s="1"/>
  <c r="X43" i="12"/>
  <c r="Z43" i="12" s="1"/>
  <c r="AA43" i="12" s="1"/>
  <c r="AB43" i="12" s="1"/>
  <c r="AG43" i="12" s="1"/>
  <c r="AC43" i="12"/>
  <c r="AD43" i="12"/>
  <c r="K42" i="14" l="1"/>
  <c r="L42" i="14" s="1"/>
  <c r="M42" i="14" s="1"/>
  <c r="BD42" i="14"/>
  <c r="N42" i="14"/>
  <c r="Y42" i="13"/>
  <c r="X42" i="13"/>
  <c r="W42" i="13"/>
  <c r="AH43" i="12"/>
  <c r="AI43" i="12" s="1"/>
  <c r="AJ43" i="12" s="1"/>
  <c r="AK43" i="12" s="1"/>
  <c r="AQ43" i="12" s="1"/>
  <c r="AF43" i="12"/>
  <c r="AL43" i="12" s="1"/>
  <c r="AE43" i="12"/>
  <c r="AM43" i="12" l="1"/>
  <c r="U42" i="14"/>
  <c r="T42" i="14"/>
  <c r="V42" i="14" s="1"/>
  <c r="P42" i="14"/>
  <c r="O42" i="14"/>
  <c r="Q42" i="14" s="1"/>
  <c r="R42" i="14" s="1"/>
  <c r="S42" i="14" s="1"/>
  <c r="AC42" i="13"/>
  <c r="AD42" i="13"/>
  <c r="AF42" i="13" s="1"/>
  <c r="Z42" i="13"/>
  <c r="AA42" i="13" s="1"/>
  <c r="AB42" i="13" s="1"/>
  <c r="AO43" i="12"/>
  <c r="AV43" i="12" s="1"/>
  <c r="AP43" i="12"/>
  <c r="AR43" i="12" s="1"/>
  <c r="AS43" i="12" s="1"/>
  <c r="AT43" i="12" s="1"/>
  <c r="AZ43" i="12" s="1"/>
  <c r="AN43" i="12"/>
  <c r="Y42" i="14" l="1"/>
  <c r="X42" i="14"/>
  <c r="Z42" i="14" s="1"/>
  <c r="AA42" i="14" s="1"/>
  <c r="AB42" i="14" s="1"/>
  <c r="W42" i="14"/>
  <c r="AM42" i="13"/>
  <c r="AL42" i="13"/>
  <c r="AN42" i="13" s="1"/>
  <c r="AE42" i="13"/>
  <c r="AH42" i="13"/>
  <c r="AG42" i="13"/>
  <c r="AU43" i="12"/>
  <c r="AX43" i="12"/>
  <c r="BA43" i="12" s="1"/>
  <c r="AW43" i="12"/>
  <c r="AY43" i="12" s="1"/>
  <c r="AD42" i="14" l="1"/>
  <c r="AC42" i="14"/>
  <c r="AE42" i="14" s="1"/>
  <c r="AH42" i="14"/>
  <c r="AG42" i="14"/>
  <c r="AI42" i="14" s="1"/>
  <c r="AJ42" i="14" s="1"/>
  <c r="AK42" i="14" s="1"/>
  <c r="AO42" i="13"/>
  <c r="AI42" i="13"/>
  <c r="AJ42" i="13" s="1"/>
  <c r="AK42" i="13" s="1"/>
  <c r="AU42" i="13"/>
  <c r="AV42" i="13"/>
  <c r="BF43" i="12"/>
  <c r="BG43" i="12" s="1"/>
  <c r="BB43" i="12"/>
  <c r="AQ42" i="14" l="1"/>
  <c r="AP42" i="14"/>
  <c r="AR42" i="14" s="1"/>
  <c r="AS42" i="14" s="1"/>
  <c r="AT42" i="14" s="1"/>
  <c r="AZ42" i="14" s="1"/>
  <c r="AF42" i="14"/>
  <c r="AX42" i="13"/>
  <c r="BA42" i="13" s="1"/>
  <c r="AQ42" i="13"/>
  <c r="AP42" i="13"/>
  <c r="AW42" i="13"/>
  <c r="C44" i="12"/>
  <c r="BE43" i="12"/>
  <c r="AM42" i="14" l="1"/>
  <c r="AL42" i="14"/>
  <c r="AR42" i="13"/>
  <c r="AS42" i="13" s="1"/>
  <c r="AT42" i="13" s="1"/>
  <c r="AZ42" i="13" s="1"/>
  <c r="D44" i="12"/>
  <c r="E44" i="12"/>
  <c r="AO42" i="14" l="1"/>
  <c r="AV42" i="14"/>
  <c r="AU42" i="14"/>
  <c r="AW42" i="14" s="1"/>
  <c r="AN42" i="14"/>
  <c r="AY42" i="13"/>
  <c r="F44" i="12"/>
  <c r="G44" i="12" s="1"/>
  <c r="H44" i="12" s="1"/>
  <c r="I44" i="12" s="1"/>
  <c r="J44" i="12" l="1"/>
  <c r="N44" i="12" s="1"/>
  <c r="AY42" i="14"/>
  <c r="AX42" i="14"/>
  <c r="BA42" i="14" s="1"/>
  <c r="BB42" i="13"/>
  <c r="BF42" i="13"/>
  <c r="BG42" i="13" s="1"/>
  <c r="K44" i="12"/>
  <c r="L44" i="12" s="1"/>
  <c r="BD44" i="12"/>
  <c r="M44" i="12" l="1"/>
  <c r="O44" i="12" s="1"/>
  <c r="BB42" i="14"/>
  <c r="BF42" i="14"/>
  <c r="BG42" i="14" s="1"/>
  <c r="C43" i="13"/>
  <c r="BE42" i="13"/>
  <c r="T44" i="12"/>
  <c r="U44" i="12"/>
  <c r="P44" i="12" l="1"/>
  <c r="C43" i="14"/>
  <c r="BE42" i="14"/>
  <c r="E43" i="13"/>
  <c r="D43" i="13"/>
  <c r="Q44" i="12"/>
  <c r="R44" i="12" s="1"/>
  <c r="S44" i="12" s="1"/>
  <c r="Y44" i="12" s="1"/>
  <c r="W44" i="12"/>
  <c r="AD44" i="12" s="1"/>
  <c r="V44" i="12"/>
  <c r="E43" i="14" l="1"/>
  <c r="D43" i="14"/>
  <c r="F43" i="13"/>
  <c r="X44" i="12"/>
  <c r="Z44" i="12" s="1"/>
  <c r="AA44" i="12" s="1"/>
  <c r="AB44" i="12" s="1"/>
  <c r="AC44" i="12"/>
  <c r="AE44" i="12" s="1"/>
  <c r="F43" i="14" l="1"/>
  <c r="J43" i="13"/>
  <c r="G43" i="13"/>
  <c r="H43" i="13" s="1"/>
  <c r="I43" i="13" s="1"/>
  <c r="AG44" i="12"/>
  <c r="AH44" i="12"/>
  <c r="AF44" i="12"/>
  <c r="AM44" i="12" s="1"/>
  <c r="J43" i="14" l="1"/>
  <c r="G43" i="14"/>
  <c r="H43" i="14" s="1"/>
  <c r="I43" i="14" s="1"/>
  <c r="N43" i="13"/>
  <c r="K43" i="13"/>
  <c r="L43" i="13" s="1"/>
  <c r="M43" i="13" s="1"/>
  <c r="BD43" i="13"/>
  <c r="AI44" i="12"/>
  <c r="AJ44" i="12" s="1"/>
  <c r="AK44" i="12" s="1"/>
  <c r="AP44" i="12" s="1"/>
  <c r="AL44" i="12"/>
  <c r="AN44" i="12" s="1"/>
  <c r="N43" i="14" l="1"/>
  <c r="BD43" i="14"/>
  <c r="K43" i="14"/>
  <c r="L43" i="14" s="1"/>
  <c r="M43" i="14" s="1"/>
  <c r="U43" i="13"/>
  <c r="T43" i="13"/>
  <c r="V43" i="13" s="1"/>
  <c r="O43" i="13"/>
  <c r="P43" i="13"/>
  <c r="AQ44" i="12"/>
  <c r="AR44" i="12" s="1"/>
  <c r="AS44" i="12" s="1"/>
  <c r="AT44" i="12" s="1"/>
  <c r="AZ44" i="12" s="1"/>
  <c r="AO44" i="12"/>
  <c r="AU44" i="12" s="1"/>
  <c r="U43" i="14" l="1"/>
  <c r="T43" i="14"/>
  <c r="V43" i="14" s="1"/>
  <c r="O43" i="14"/>
  <c r="P43" i="14"/>
  <c r="Q43" i="13"/>
  <c r="R43" i="13" s="1"/>
  <c r="S43" i="13" s="1"/>
  <c r="W43" i="13"/>
  <c r="AV44" i="12"/>
  <c r="AX44" i="12" s="1"/>
  <c r="BA44" i="12" s="1"/>
  <c r="AW44" i="12"/>
  <c r="AY44" i="12" s="1"/>
  <c r="Q43" i="14" l="1"/>
  <c r="R43" i="14" s="1"/>
  <c r="S43" i="14" s="1"/>
  <c r="W43" i="14"/>
  <c r="AD43" i="13"/>
  <c r="AC43" i="13"/>
  <c r="AE43" i="13" s="1"/>
  <c r="Y43" i="13"/>
  <c r="X43" i="13"/>
  <c r="Z43" i="13" s="1"/>
  <c r="AA43" i="13" s="1"/>
  <c r="AB43" i="13" s="1"/>
  <c r="BF44" i="12"/>
  <c r="BG44" i="12" s="1"/>
  <c r="BB44" i="12"/>
  <c r="AD43" i="14" l="1"/>
  <c r="AC43" i="14"/>
  <c r="AE43" i="14" s="1"/>
  <c r="Y43" i="14"/>
  <c r="X43" i="14"/>
  <c r="AF43" i="13"/>
  <c r="AG43" i="13"/>
  <c r="AH43" i="13"/>
  <c r="C45" i="12"/>
  <c r="BE44" i="12"/>
  <c r="Z43" i="14" l="1"/>
  <c r="AA43" i="14" s="1"/>
  <c r="AB43" i="14" s="1"/>
  <c r="AF43" i="14"/>
  <c r="AI43" i="13"/>
  <c r="AJ43" i="13" s="1"/>
  <c r="AK43" i="13" s="1"/>
  <c r="AQ43" i="13"/>
  <c r="AP43" i="13"/>
  <c r="AM43" i="13"/>
  <c r="AL43" i="13"/>
  <c r="E45" i="12"/>
  <c r="D45" i="12"/>
  <c r="AM43" i="14" l="1"/>
  <c r="AL43" i="14"/>
  <c r="AN43" i="14" s="1"/>
  <c r="AG43" i="14"/>
  <c r="AH43" i="14"/>
  <c r="AN43" i="13"/>
  <c r="AR43" i="13"/>
  <c r="AS43" i="13" s="1"/>
  <c r="AT43" i="13" s="1"/>
  <c r="AZ43" i="13" s="1"/>
  <c r="AO43" i="13"/>
  <c r="F45" i="12"/>
  <c r="J45" i="12" s="1"/>
  <c r="AI43" i="14" l="1"/>
  <c r="AJ43" i="14" s="1"/>
  <c r="AK43" i="14" s="1"/>
  <c r="AO43" i="14"/>
  <c r="AV43" i="13"/>
  <c r="AU43" i="13"/>
  <c r="AW43" i="13" s="1"/>
  <c r="AY43" i="13" s="1"/>
  <c r="G45" i="12"/>
  <c r="H45" i="12" s="1"/>
  <c r="I45" i="12" s="1"/>
  <c r="BD45" i="12" s="1"/>
  <c r="AV43" i="14" l="1"/>
  <c r="AU43" i="14"/>
  <c r="AW43" i="14" s="1"/>
  <c r="AQ43" i="14"/>
  <c r="AP43" i="14"/>
  <c r="AR43" i="14" s="1"/>
  <c r="AS43" i="14" s="1"/>
  <c r="AT43" i="14" s="1"/>
  <c r="AZ43" i="14" s="1"/>
  <c r="AX43" i="13"/>
  <c r="BA43" i="13" s="1"/>
  <c r="BB43" i="13"/>
  <c r="BF43" i="13"/>
  <c r="BG43" i="13" s="1"/>
  <c r="N45" i="12"/>
  <c r="T45" i="12" s="1"/>
  <c r="K45" i="12"/>
  <c r="L45" i="12" s="1"/>
  <c r="M45" i="12" s="1"/>
  <c r="O45" i="12" s="1"/>
  <c r="AY43" i="14" l="1"/>
  <c r="AX43" i="14"/>
  <c r="BA43" i="14" s="1"/>
  <c r="BE43" i="13"/>
  <c r="C44" i="13"/>
  <c r="P45" i="12"/>
  <c r="Q45" i="12" s="1"/>
  <c r="R45" i="12" s="1"/>
  <c r="S45" i="12" s="1"/>
  <c r="U45" i="12"/>
  <c r="W45" i="12" s="1"/>
  <c r="AC45" i="12" s="1"/>
  <c r="V45" i="12" l="1"/>
  <c r="BB43" i="14"/>
  <c r="BF43" i="14"/>
  <c r="BG43" i="14" s="1"/>
  <c r="E44" i="13"/>
  <c r="D44" i="13"/>
  <c r="AD45" i="12"/>
  <c r="AF45" i="12" s="1"/>
  <c r="AM45" i="12" s="1"/>
  <c r="Y45" i="12"/>
  <c r="X45" i="12"/>
  <c r="BE43" i="14" l="1"/>
  <c r="C44" i="14"/>
  <c r="F44" i="13"/>
  <c r="AE45" i="12"/>
  <c r="Z45" i="12"/>
  <c r="AA45" i="12" s="1"/>
  <c r="AB45" i="12" s="1"/>
  <c r="AG45" i="12" s="1"/>
  <c r="AL45" i="12"/>
  <c r="AN45" i="12" s="1"/>
  <c r="E44" i="14" l="1"/>
  <c r="D44" i="14"/>
  <c r="J44" i="13"/>
  <c r="G44" i="13"/>
  <c r="H44" i="13" s="1"/>
  <c r="I44" i="13" s="1"/>
  <c r="AH45" i="12"/>
  <c r="AI45" i="12" s="1"/>
  <c r="AJ45" i="12" s="1"/>
  <c r="AK45" i="12" s="1"/>
  <c r="AO45" i="12"/>
  <c r="AU45" i="12" s="1"/>
  <c r="F44" i="14" l="1"/>
  <c r="K44" i="13"/>
  <c r="L44" i="13" s="1"/>
  <c r="M44" i="13" s="1"/>
  <c r="BD44" i="13"/>
  <c r="N44" i="13"/>
  <c r="AV45" i="12"/>
  <c r="AW45" i="12" s="1"/>
  <c r="AX45" i="12"/>
  <c r="BA45" i="12" s="1"/>
  <c r="AP45" i="12"/>
  <c r="AQ45" i="12"/>
  <c r="J44" i="14" l="1"/>
  <c r="G44" i="14"/>
  <c r="H44" i="14" s="1"/>
  <c r="I44" i="14" s="1"/>
  <c r="O44" i="13"/>
  <c r="P44" i="13"/>
  <c r="U44" i="13"/>
  <c r="T44" i="13"/>
  <c r="V44" i="13" s="1"/>
  <c r="AR45" i="12"/>
  <c r="AS45" i="12" s="1"/>
  <c r="AT45" i="12" s="1"/>
  <c r="AZ45" i="12" s="1"/>
  <c r="K44" i="14" l="1"/>
  <c r="L44" i="14" s="1"/>
  <c r="M44" i="14" s="1"/>
  <c r="BD44" i="14"/>
  <c r="N44" i="14"/>
  <c r="W44" i="13"/>
  <c r="Q44" i="13"/>
  <c r="R44" i="13" s="1"/>
  <c r="S44" i="13" s="1"/>
  <c r="AY45" i="12"/>
  <c r="U44" i="14" l="1"/>
  <c r="T44" i="14"/>
  <c r="P44" i="14"/>
  <c r="O44" i="14"/>
  <c r="Q44" i="14" s="1"/>
  <c r="R44" i="14" s="1"/>
  <c r="S44" i="14" s="1"/>
  <c r="AC44" i="13"/>
  <c r="AD44" i="13"/>
  <c r="AF44" i="13" s="1"/>
  <c r="X44" i="13"/>
  <c r="Y44" i="13"/>
  <c r="BF45" i="12"/>
  <c r="BG45" i="12" s="1"/>
  <c r="BB45" i="12"/>
  <c r="W44" i="14" l="1"/>
  <c r="AC44" i="14"/>
  <c r="AD44" i="14"/>
  <c r="AF44" i="14" s="1"/>
  <c r="Y44" i="14"/>
  <c r="X44" i="14"/>
  <c r="V44" i="14"/>
  <c r="AE44" i="13"/>
  <c r="AM44" i="13"/>
  <c r="AL44" i="13"/>
  <c r="AN44" i="13" s="1"/>
  <c r="Z44" i="13"/>
  <c r="AA44" i="13" s="1"/>
  <c r="AB44" i="13" s="1"/>
  <c r="C46" i="12"/>
  <c r="BE45" i="12"/>
  <c r="Z44" i="14" l="1"/>
  <c r="AA44" i="14" s="1"/>
  <c r="AB44" i="14" s="1"/>
  <c r="AM44" i="14"/>
  <c r="AL44" i="14"/>
  <c r="AE44" i="14"/>
  <c r="AG44" i="13"/>
  <c r="AH44" i="13"/>
  <c r="AO44" i="13"/>
  <c r="E46" i="12"/>
  <c r="D46" i="12"/>
  <c r="AN44" i="14" l="1"/>
  <c r="AO44" i="14"/>
  <c r="AH44" i="14"/>
  <c r="AG44" i="14"/>
  <c r="AI44" i="14" s="1"/>
  <c r="AJ44" i="14" s="1"/>
  <c r="AK44" i="14" s="1"/>
  <c r="AI44" i="13"/>
  <c r="AJ44" i="13" s="1"/>
  <c r="AK44" i="13" s="1"/>
  <c r="AQ44" i="13"/>
  <c r="AP44" i="13"/>
  <c r="AU44" i="13"/>
  <c r="AV44" i="13"/>
  <c r="AX44" i="13" s="1"/>
  <c r="BA44" i="13" s="1"/>
  <c r="F46" i="12"/>
  <c r="G46" i="12" s="1"/>
  <c r="H46" i="12" s="1"/>
  <c r="I46" i="12" s="1"/>
  <c r="AQ44" i="14" l="1"/>
  <c r="AP44" i="14"/>
  <c r="AR44" i="14" s="1"/>
  <c r="AS44" i="14" s="1"/>
  <c r="AT44" i="14" s="1"/>
  <c r="AZ44" i="14" s="1"/>
  <c r="AU44" i="14"/>
  <c r="AV44" i="14"/>
  <c r="AW44" i="13"/>
  <c r="AR44" i="13"/>
  <c r="AS44" i="13" s="1"/>
  <c r="AT44" i="13" s="1"/>
  <c r="AZ44" i="13" s="1"/>
  <c r="J46" i="12"/>
  <c r="N46" i="12" s="1"/>
  <c r="BD46" i="12"/>
  <c r="K46" i="12"/>
  <c r="L46" i="12" s="1"/>
  <c r="M46" i="12" l="1"/>
  <c r="AX44" i="14"/>
  <c r="BA44" i="14" s="1"/>
  <c r="AW44" i="14"/>
  <c r="AY44" i="14" s="1"/>
  <c r="AY44" i="13"/>
  <c r="P46" i="12"/>
  <c r="O46" i="12"/>
  <c r="T46" i="12"/>
  <c r="U46" i="12"/>
  <c r="BB44" i="14" l="1"/>
  <c r="BF44" i="14"/>
  <c r="BG44" i="14" s="1"/>
  <c r="BB44" i="13"/>
  <c r="BF44" i="13"/>
  <c r="BG44" i="13" s="1"/>
  <c r="Q46" i="12"/>
  <c r="R46" i="12" s="1"/>
  <c r="S46" i="12" s="1"/>
  <c r="Y46" i="12" s="1"/>
  <c r="V46" i="12"/>
  <c r="W46" i="12"/>
  <c r="BE44" i="14" l="1"/>
  <c r="C45" i="14"/>
  <c r="BE44" i="13"/>
  <c r="C45" i="13"/>
  <c r="X46" i="12"/>
  <c r="Z46" i="12" s="1"/>
  <c r="AA46" i="12" s="1"/>
  <c r="AB46" i="12" s="1"/>
  <c r="AG46" i="12" s="1"/>
  <c r="AD46" i="12"/>
  <c r="AC46" i="12"/>
  <c r="E45" i="14" l="1"/>
  <c r="D45" i="14"/>
  <c r="E45" i="13"/>
  <c r="D45" i="13"/>
  <c r="AH46" i="12"/>
  <c r="AI46" i="12" s="1"/>
  <c r="AJ46" i="12" s="1"/>
  <c r="AK46" i="12" s="1"/>
  <c r="AE46" i="12"/>
  <c r="AF46" i="12"/>
  <c r="F45" i="14" l="1"/>
  <c r="J45" i="14"/>
  <c r="G45" i="14"/>
  <c r="H45" i="14" s="1"/>
  <c r="I45" i="14" s="1"/>
  <c r="F45" i="13"/>
  <c r="AP46" i="12"/>
  <c r="AQ46" i="12"/>
  <c r="AR46" i="12" s="1"/>
  <c r="AS46" i="12" s="1"/>
  <c r="AT46" i="12" s="1"/>
  <c r="AZ46" i="12" s="1"/>
  <c r="AL46" i="12"/>
  <c r="AM46" i="12"/>
  <c r="N45" i="14" l="1"/>
  <c r="K45" i="14"/>
  <c r="L45" i="14" s="1"/>
  <c r="M45" i="14" s="1"/>
  <c r="BD45" i="14"/>
  <c r="J45" i="13"/>
  <c r="G45" i="13"/>
  <c r="H45" i="13" s="1"/>
  <c r="I45" i="13" s="1"/>
  <c r="AO46" i="12"/>
  <c r="AU46" i="12" s="1"/>
  <c r="AN46" i="12"/>
  <c r="U45" i="14" l="1"/>
  <c r="T45" i="14"/>
  <c r="P45" i="14"/>
  <c r="O45" i="14"/>
  <c r="Q45" i="14" s="1"/>
  <c r="R45" i="14" s="1"/>
  <c r="S45" i="14" s="1"/>
  <c r="K45" i="13"/>
  <c r="L45" i="13" s="1"/>
  <c r="M45" i="13" s="1"/>
  <c r="BD45" i="13"/>
  <c r="N45" i="13"/>
  <c r="AV46" i="12"/>
  <c r="AW46" i="12" s="1"/>
  <c r="AY46" i="12" s="1"/>
  <c r="W45" i="14" l="1"/>
  <c r="Y45" i="14"/>
  <c r="X45" i="14"/>
  <c r="Z45" i="14" s="1"/>
  <c r="AA45" i="14" s="1"/>
  <c r="AB45" i="14" s="1"/>
  <c r="AD45" i="14"/>
  <c r="AF45" i="14" s="1"/>
  <c r="AC45" i="14"/>
  <c r="V45" i="14"/>
  <c r="P45" i="13"/>
  <c r="O45" i="13"/>
  <c r="Q45" i="13" s="1"/>
  <c r="R45" i="13" s="1"/>
  <c r="S45" i="13" s="1"/>
  <c r="U45" i="13"/>
  <c r="T45" i="13"/>
  <c r="V45" i="13" s="1"/>
  <c r="AX46" i="12"/>
  <c r="BA46" i="12" s="1"/>
  <c r="BB46" i="12" s="1"/>
  <c r="BF46" i="12"/>
  <c r="BG46" i="12" s="1"/>
  <c r="AE45" i="14" l="1"/>
  <c r="AM45" i="14"/>
  <c r="AL45" i="14"/>
  <c r="AH45" i="14"/>
  <c r="AG45" i="14"/>
  <c r="AI45" i="14" s="1"/>
  <c r="AJ45" i="14" s="1"/>
  <c r="AK45" i="14" s="1"/>
  <c r="Y45" i="13"/>
  <c r="X45" i="13"/>
  <c r="Z45" i="13" s="1"/>
  <c r="AA45" i="13" s="1"/>
  <c r="AB45" i="13" s="1"/>
  <c r="W45" i="13"/>
  <c r="C47" i="12"/>
  <c r="BE46" i="12"/>
  <c r="AO45" i="14" l="1"/>
  <c r="AV45" i="14"/>
  <c r="AU45" i="14"/>
  <c r="AQ45" i="14"/>
  <c r="AP45" i="14"/>
  <c r="AR45" i="14" s="1"/>
  <c r="AS45" i="14" s="1"/>
  <c r="AT45" i="14" s="1"/>
  <c r="AZ45" i="14" s="1"/>
  <c r="AN45" i="14"/>
  <c r="AH45" i="13"/>
  <c r="AG45" i="13"/>
  <c r="AI45" i="13" s="1"/>
  <c r="AJ45" i="13" s="1"/>
  <c r="AK45" i="13" s="1"/>
  <c r="AC45" i="13"/>
  <c r="AD45" i="13"/>
  <c r="AF45" i="13" s="1"/>
  <c r="D47" i="12"/>
  <c r="E47" i="12"/>
  <c r="AX45" i="14" l="1"/>
  <c r="BA45" i="14" s="1"/>
  <c r="AW45" i="14"/>
  <c r="AY45" i="14" s="1"/>
  <c r="AL45" i="13"/>
  <c r="AM45" i="13"/>
  <c r="AO45" i="13" s="1"/>
  <c r="AE45" i="13"/>
  <c r="AQ45" i="13"/>
  <c r="AP45" i="13"/>
  <c r="AR45" i="13" s="1"/>
  <c r="AS45" i="13" s="1"/>
  <c r="AT45" i="13" s="1"/>
  <c r="AZ45" i="13" s="1"/>
  <c r="F47" i="12"/>
  <c r="J47" i="12" s="1"/>
  <c r="G47" i="12"/>
  <c r="H47" i="12" s="1"/>
  <c r="I47" i="12" s="1"/>
  <c r="BB45" i="14" l="1"/>
  <c r="BF45" i="14"/>
  <c r="BG45" i="14" s="1"/>
  <c r="AU45" i="13"/>
  <c r="AV45" i="13"/>
  <c r="AN45" i="13"/>
  <c r="K47" i="12"/>
  <c r="L47" i="12" s="1"/>
  <c r="M47" i="12" s="1"/>
  <c r="BD47" i="12"/>
  <c r="N47" i="12"/>
  <c r="C46" i="14" l="1"/>
  <c r="BE45" i="14"/>
  <c r="AW45" i="13"/>
  <c r="AY45" i="13" s="1"/>
  <c r="AX45" i="13"/>
  <c r="BA45" i="13" s="1"/>
  <c r="BB45" i="13"/>
  <c r="BF45" i="13"/>
  <c r="BG45" i="13" s="1"/>
  <c r="T47" i="12"/>
  <c r="U47" i="12"/>
  <c r="P47" i="12"/>
  <c r="O47" i="12"/>
  <c r="D46" i="14" l="1"/>
  <c r="E46" i="14"/>
  <c r="F46" i="14" s="1"/>
  <c r="C46" i="13"/>
  <c r="BE45" i="13"/>
  <c r="W47" i="12"/>
  <c r="AC47" i="12" s="1"/>
  <c r="Q47" i="12"/>
  <c r="R47" i="12" s="1"/>
  <c r="S47" i="12" s="1"/>
  <c r="V47" i="12"/>
  <c r="J46" i="14" l="1"/>
  <c r="G46" i="14"/>
  <c r="H46" i="14" s="1"/>
  <c r="I46" i="14" s="1"/>
  <c r="D46" i="13"/>
  <c r="E46" i="13"/>
  <c r="F46" i="13" s="1"/>
  <c r="AD47" i="12"/>
  <c r="AF47" i="12" s="1"/>
  <c r="AM47" i="12" s="1"/>
  <c r="Y47" i="12"/>
  <c r="X47" i="12"/>
  <c r="BD46" i="14" l="1"/>
  <c r="K46" i="14"/>
  <c r="L46" i="14" s="1"/>
  <c r="M46" i="14" s="1"/>
  <c r="N46" i="14"/>
  <c r="J46" i="13"/>
  <c r="G46" i="13"/>
  <c r="H46" i="13" s="1"/>
  <c r="I46" i="13" s="1"/>
  <c r="AL47" i="12"/>
  <c r="AO47" i="12" s="1"/>
  <c r="AU47" i="12" s="1"/>
  <c r="AE47" i="12"/>
  <c r="Z47" i="12"/>
  <c r="AA47" i="12" s="1"/>
  <c r="AB47" i="12" s="1"/>
  <c r="AH47" i="12" s="1"/>
  <c r="AN47" i="12" l="1"/>
  <c r="O46" i="14"/>
  <c r="P46" i="14"/>
  <c r="U46" i="14"/>
  <c r="T46" i="14"/>
  <c r="V46" i="14" s="1"/>
  <c r="K46" i="13"/>
  <c r="L46" i="13" s="1"/>
  <c r="M46" i="13" s="1"/>
  <c r="BD46" i="13"/>
  <c r="N46" i="13"/>
  <c r="AV47" i="12"/>
  <c r="AW47" i="12" s="1"/>
  <c r="AG47" i="12"/>
  <c r="AI47" i="12" s="1"/>
  <c r="AJ47" i="12" s="1"/>
  <c r="AK47" i="12" s="1"/>
  <c r="AX47" i="12"/>
  <c r="BA47" i="12" s="1"/>
  <c r="W46" i="14" l="1"/>
  <c r="Q46" i="14"/>
  <c r="R46" i="14" s="1"/>
  <c r="S46" i="14" s="1"/>
  <c r="O46" i="13"/>
  <c r="P46" i="13"/>
  <c r="U46" i="13"/>
  <c r="T46" i="13"/>
  <c r="V46" i="13" s="1"/>
  <c r="AQ47" i="12"/>
  <c r="AP47" i="12"/>
  <c r="Y46" i="14" l="1"/>
  <c r="X46" i="14"/>
  <c r="Z46" i="14" s="1"/>
  <c r="AA46" i="14" s="1"/>
  <c r="AB46" i="14" s="1"/>
  <c r="AD46" i="14"/>
  <c r="AC46" i="14"/>
  <c r="AE46" i="14" s="1"/>
  <c r="W46" i="13"/>
  <c r="Q46" i="13"/>
  <c r="R46" i="13" s="1"/>
  <c r="S46" i="13" s="1"/>
  <c r="AR47" i="12"/>
  <c r="AS47" i="12" s="1"/>
  <c r="AT47" i="12" s="1"/>
  <c r="AZ47" i="12" s="1"/>
  <c r="AF46" i="14" l="1"/>
  <c r="AG46" i="14"/>
  <c r="AH46" i="14"/>
  <c r="Y46" i="13"/>
  <c r="X46" i="13"/>
  <c r="Z46" i="13" s="1"/>
  <c r="AA46" i="13" s="1"/>
  <c r="AB46" i="13" s="1"/>
  <c r="AD46" i="13"/>
  <c r="AC46" i="13"/>
  <c r="AE46" i="13" s="1"/>
  <c r="AY47" i="12"/>
  <c r="BF47" i="12" s="1"/>
  <c r="BG47" i="12" s="1"/>
  <c r="AI46" i="14" l="1"/>
  <c r="AJ46" i="14" s="1"/>
  <c r="AK46" i="14" s="1"/>
  <c r="AM46" i="14"/>
  <c r="AL46" i="14"/>
  <c r="AG46" i="13"/>
  <c r="AH46" i="13"/>
  <c r="AF46" i="13"/>
  <c r="BB47" i="12"/>
  <c r="C48" i="12" s="1"/>
  <c r="BE47" i="12" l="1"/>
  <c r="AO46" i="14"/>
  <c r="AN46" i="14"/>
  <c r="AV46" i="14"/>
  <c r="AU46" i="14"/>
  <c r="AW46" i="14" s="1"/>
  <c r="AQ46" i="14"/>
  <c r="AP46" i="14"/>
  <c r="AR46" i="14" s="1"/>
  <c r="AS46" i="14" s="1"/>
  <c r="AT46" i="14" s="1"/>
  <c r="AZ46" i="14" s="1"/>
  <c r="AM46" i="13"/>
  <c r="AL46" i="13"/>
  <c r="AN46" i="13" s="1"/>
  <c r="AI46" i="13"/>
  <c r="AJ46" i="13" s="1"/>
  <c r="AK46" i="13" s="1"/>
  <c r="E48" i="12"/>
  <c r="D48" i="12"/>
  <c r="AY46" i="14" l="1"/>
  <c r="BF46" i="14"/>
  <c r="BG46" i="14" s="1"/>
  <c r="AX46" i="14"/>
  <c r="BA46" i="14" s="1"/>
  <c r="BB46" i="14" s="1"/>
  <c r="AQ46" i="13"/>
  <c r="AP46" i="13"/>
  <c r="AR46" i="13" s="1"/>
  <c r="AS46" i="13" s="1"/>
  <c r="AT46" i="13" s="1"/>
  <c r="AZ46" i="13" s="1"/>
  <c r="AO46" i="13"/>
  <c r="F48" i="12"/>
  <c r="J48" i="12" s="1"/>
  <c r="BE46" i="14" l="1"/>
  <c r="C47" i="14"/>
  <c r="AV46" i="13"/>
  <c r="AU46" i="13"/>
  <c r="G48" i="12"/>
  <c r="H48" i="12" s="1"/>
  <c r="I48" i="12" s="1"/>
  <c r="N48" i="12" s="1"/>
  <c r="E47" i="14" l="1"/>
  <c r="D47" i="14"/>
  <c r="AX46" i="13"/>
  <c r="BA46" i="13" s="1"/>
  <c r="AW46" i="13"/>
  <c r="AY46" i="13" s="1"/>
  <c r="BD48" i="12"/>
  <c r="K48" i="12"/>
  <c r="L48" i="12" s="1"/>
  <c r="M48" i="12" s="1"/>
  <c r="P48" i="12" s="1"/>
  <c r="U48" i="12"/>
  <c r="T48" i="12"/>
  <c r="F47" i="14" l="1"/>
  <c r="BB46" i="13"/>
  <c r="BF46" i="13"/>
  <c r="BG46" i="13" s="1"/>
  <c r="O48" i="12"/>
  <c r="Q48" i="12" s="1"/>
  <c r="R48" i="12" s="1"/>
  <c r="S48" i="12" s="1"/>
  <c r="X48" i="12" s="1"/>
  <c r="V48" i="12"/>
  <c r="W48" i="12"/>
  <c r="Y48" i="12" l="1"/>
  <c r="J47" i="14"/>
  <c r="G47" i="14"/>
  <c r="H47" i="14" s="1"/>
  <c r="I47" i="14" s="1"/>
  <c r="BE46" i="13"/>
  <c r="C47" i="13"/>
  <c r="Z48" i="12"/>
  <c r="AA48" i="12" s="1"/>
  <c r="AB48" i="12" s="1"/>
  <c r="AD48" i="12"/>
  <c r="AC48" i="12"/>
  <c r="K47" i="14" l="1"/>
  <c r="L47" i="14" s="1"/>
  <c r="M47" i="14" s="1"/>
  <c r="BD47" i="14"/>
  <c r="N47" i="14"/>
  <c r="E47" i="13"/>
  <c r="D47" i="13"/>
  <c r="AF48" i="12"/>
  <c r="AE48" i="12"/>
  <c r="AG48" i="12"/>
  <c r="AH48" i="12"/>
  <c r="P47" i="14" l="1"/>
  <c r="O47" i="14"/>
  <c r="Q47" i="14" s="1"/>
  <c r="R47" i="14" s="1"/>
  <c r="S47" i="14" s="1"/>
  <c r="U47" i="14"/>
  <c r="T47" i="14"/>
  <c r="F47" i="13"/>
  <c r="J47" i="13"/>
  <c r="G47" i="13"/>
  <c r="H47" i="13" s="1"/>
  <c r="I47" i="13" s="1"/>
  <c r="AI48" i="12"/>
  <c r="AJ48" i="12" s="1"/>
  <c r="AK48" i="12" s="1"/>
  <c r="AP48" i="12" s="1"/>
  <c r="AL48" i="12"/>
  <c r="AM48" i="12"/>
  <c r="V47" i="14" l="1"/>
  <c r="W47" i="14"/>
  <c r="Y47" i="14"/>
  <c r="X47" i="14"/>
  <c r="K47" i="13"/>
  <c r="L47" i="13" s="1"/>
  <c r="M47" i="13" s="1"/>
  <c r="BD47" i="13"/>
  <c r="N47" i="13"/>
  <c r="AO48" i="12"/>
  <c r="AV48" i="12" s="1"/>
  <c r="AQ48" i="12"/>
  <c r="AR48" i="12" s="1"/>
  <c r="AS48" i="12" s="1"/>
  <c r="AT48" i="12" s="1"/>
  <c r="AZ48" i="12" s="1"/>
  <c r="AU48" i="12"/>
  <c r="AN48" i="12"/>
  <c r="Z47" i="14" l="1"/>
  <c r="AA47" i="14" s="1"/>
  <c r="AB47" i="14" s="1"/>
  <c r="AC47" i="14"/>
  <c r="AD47" i="14"/>
  <c r="AF47" i="14" s="1"/>
  <c r="U47" i="13"/>
  <c r="T47" i="13"/>
  <c r="V47" i="13" s="1"/>
  <c r="O47" i="13"/>
  <c r="P47" i="13"/>
  <c r="AX48" i="12"/>
  <c r="BA48" i="12" s="1"/>
  <c r="AW48" i="12"/>
  <c r="AY48" i="12" s="1"/>
  <c r="AM47" i="14" l="1"/>
  <c r="AL47" i="14"/>
  <c r="AN47" i="14" s="1"/>
  <c r="AE47" i="14"/>
  <c r="AH47" i="14"/>
  <c r="AG47" i="14"/>
  <c r="AI47" i="14" s="1"/>
  <c r="AJ47" i="14" s="1"/>
  <c r="AK47" i="14" s="1"/>
  <c r="Q47" i="13"/>
  <c r="R47" i="13" s="1"/>
  <c r="S47" i="13" s="1"/>
  <c r="W47" i="13"/>
  <c r="BB48" i="12"/>
  <c r="BF48" i="12"/>
  <c r="BG48" i="12" s="1"/>
  <c r="AQ47" i="14" l="1"/>
  <c r="AP47" i="14"/>
  <c r="AR47" i="14" s="1"/>
  <c r="AS47" i="14" s="1"/>
  <c r="AT47" i="14" s="1"/>
  <c r="AZ47" i="14" s="1"/>
  <c r="AO47" i="14"/>
  <c r="AC47" i="13"/>
  <c r="AD47" i="13"/>
  <c r="AF47" i="13" s="1"/>
  <c r="X47" i="13"/>
  <c r="Y47" i="13"/>
  <c r="BE48" i="12"/>
  <c r="C49" i="12"/>
  <c r="AU47" i="14" l="1"/>
  <c r="AV47" i="14"/>
  <c r="Z47" i="13"/>
  <c r="AA47" i="13" s="1"/>
  <c r="AB47" i="13" s="1"/>
  <c r="AM47" i="13"/>
  <c r="AL47" i="13"/>
  <c r="AE47" i="13"/>
  <c r="E49" i="12"/>
  <c r="D49" i="12"/>
  <c r="AW47" i="14" l="1"/>
  <c r="AY47" i="14" s="1"/>
  <c r="AX47" i="14"/>
  <c r="BA47" i="14" s="1"/>
  <c r="BB47" i="14"/>
  <c r="BF47" i="14"/>
  <c r="BG47" i="14" s="1"/>
  <c r="AO47" i="13"/>
  <c r="AN47" i="13"/>
  <c r="AU47" i="13"/>
  <c r="AV47" i="13"/>
  <c r="AG47" i="13"/>
  <c r="AH47" i="13"/>
  <c r="F49" i="12"/>
  <c r="BE47" i="14" l="1"/>
  <c r="C48" i="14"/>
  <c r="AW47" i="13"/>
  <c r="AI47" i="13"/>
  <c r="AJ47" i="13" s="1"/>
  <c r="AK47" i="13" s="1"/>
  <c r="AX47" i="13"/>
  <c r="BA47" i="13" s="1"/>
  <c r="G49" i="12"/>
  <c r="H49" i="12" s="1"/>
  <c r="I49" i="12" s="1"/>
  <c r="J49" i="12"/>
  <c r="E48" i="14" l="1"/>
  <c r="D48" i="14"/>
  <c r="AQ47" i="13"/>
  <c r="AP47" i="13"/>
  <c r="AR47" i="13" s="1"/>
  <c r="N49" i="12"/>
  <c r="BD49" i="12"/>
  <c r="K49" i="12"/>
  <c r="L49" i="12" s="1"/>
  <c r="M49" i="12" s="1"/>
  <c r="F48" i="14" l="1"/>
  <c r="AS47" i="13"/>
  <c r="AT47" i="13" s="1"/>
  <c r="AZ47" i="13" s="1"/>
  <c r="AY47" i="13"/>
  <c r="O49" i="12"/>
  <c r="P49" i="12"/>
  <c r="U49" i="12"/>
  <c r="T49" i="12"/>
  <c r="J48" i="14" l="1"/>
  <c r="G48" i="14"/>
  <c r="H48" i="14" s="1"/>
  <c r="I48" i="14" s="1"/>
  <c r="BB47" i="13"/>
  <c r="BF47" i="13"/>
  <c r="BG47" i="13" s="1"/>
  <c r="V49" i="12"/>
  <c r="W49" i="12"/>
  <c r="Q49" i="12"/>
  <c r="R49" i="12" s="1"/>
  <c r="S49" i="12" s="1"/>
  <c r="K48" i="14" l="1"/>
  <c r="L48" i="14" s="1"/>
  <c r="M48" i="14" s="1"/>
  <c r="BD48" i="14"/>
  <c r="N48" i="14"/>
  <c r="BE47" i="13"/>
  <c r="C48" i="13"/>
  <c r="X49" i="12"/>
  <c r="Y49" i="12"/>
  <c r="AD49" i="12"/>
  <c r="AC49" i="12"/>
  <c r="P48" i="14" l="1"/>
  <c r="O48" i="14"/>
  <c r="Q48" i="14" s="1"/>
  <c r="R48" i="14" s="1"/>
  <c r="S48" i="14" s="1"/>
  <c r="U48" i="14"/>
  <c r="T48" i="14"/>
  <c r="E48" i="13"/>
  <c r="D48" i="13"/>
  <c r="AE49" i="12"/>
  <c r="AF49" i="12"/>
  <c r="Z49" i="12"/>
  <c r="AA49" i="12" s="1"/>
  <c r="AB49" i="12" s="1"/>
  <c r="V48" i="14" l="1"/>
  <c r="W48" i="14"/>
  <c r="Y48" i="14"/>
  <c r="X48" i="14"/>
  <c r="Z48" i="14" s="1"/>
  <c r="AA48" i="14" s="1"/>
  <c r="AB48" i="14" s="1"/>
  <c r="F48" i="13"/>
  <c r="AG49" i="12"/>
  <c r="AH49" i="12"/>
  <c r="AL49" i="12"/>
  <c r="AM49" i="12"/>
  <c r="AH48" i="14" l="1"/>
  <c r="AG48" i="14"/>
  <c r="AD48" i="14"/>
  <c r="AC48" i="14"/>
  <c r="AE48" i="14" s="1"/>
  <c r="J48" i="13"/>
  <c r="G48" i="13"/>
  <c r="H48" i="13" s="1"/>
  <c r="I48" i="13" s="1"/>
  <c r="AO49" i="12"/>
  <c r="AU49" i="12" s="1"/>
  <c r="AN49" i="12"/>
  <c r="AI49" i="12"/>
  <c r="AJ49" i="12" s="1"/>
  <c r="AK49" i="12" s="1"/>
  <c r="AF48" i="14" l="1"/>
  <c r="AI48" i="14"/>
  <c r="AJ48" i="14" s="1"/>
  <c r="AK48" i="14" s="1"/>
  <c r="K48" i="13"/>
  <c r="L48" i="13" s="1"/>
  <c r="M48" i="13" s="1"/>
  <c r="BD48" i="13"/>
  <c r="N48" i="13"/>
  <c r="AV49" i="12"/>
  <c r="AW49" i="12" s="1"/>
  <c r="AP49" i="12"/>
  <c r="AQ49" i="12"/>
  <c r="AM48" i="14" l="1"/>
  <c r="AL48" i="14"/>
  <c r="AQ48" i="14"/>
  <c r="AP48" i="14"/>
  <c r="P48" i="13"/>
  <c r="O48" i="13"/>
  <c r="Q48" i="13" s="1"/>
  <c r="R48" i="13" s="1"/>
  <c r="S48" i="13" s="1"/>
  <c r="U48" i="13"/>
  <c r="T48" i="13"/>
  <c r="V48" i="13" s="1"/>
  <c r="AX49" i="12"/>
  <c r="BA49" i="12" s="1"/>
  <c r="AR49" i="12"/>
  <c r="AS49" i="12" s="1"/>
  <c r="AT49" i="12" s="1"/>
  <c r="AZ49" i="12" s="1"/>
  <c r="AR48" i="14" l="1"/>
  <c r="AS48" i="14" s="1"/>
  <c r="AT48" i="14" s="1"/>
  <c r="AZ48" i="14" s="1"/>
  <c r="AO48" i="14"/>
  <c r="AV48" i="14" s="1"/>
  <c r="AN48" i="14"/>
  <c r="Y48" i="13"/>
  <c r="X48" i="13"/>
  <c r="Z48" i="13" s="1"/>
  <c r="AA48" i="13" s="1"/>
  <c r="AB48" i="13" s="1"/>
  <c r="W48" i="13"/>
  <c r="AY49" i="12"/>
  <c r="AU48" i="14" l="1"/>
  <c r="AW48" i="14" s="1"/>
  <c r="AY48" i="14" s="1"/>
  <c r="BF48" i="14" s="1"/>
  <c r="BG48" i="14" s="1"/>
  <c r="AX48" i="14"/>
  <c r="BA48" i="14" s="1"/>
  <c r="BB48" i="14" s="1"/>
  <c r="AH48" i="13"/>
  <c r="AG48" i="13"/>
  <c r="AI48" i="13" s="1"/>
  <c r="AJ48" i="13" s="1"/>
  <c r="AK48" i="13" s="1"/>
  <c r="AC48" i="13"/>
  <c r="AD48" i="13"/>
  <c r="AF48" i="13" s="1"/>
  <c r="BF49" i="12"/>
  <c r="BG49" i="12" s="1"/>
  <c r="BB49" i="12"/>
  <c r="C49" i="14" l="1"/>
  <c r="BE48" i="14"/>
  <c r="AQ48" i="13"/>
  <c r="AP48" i="13"/>
  <c r="AR48" i="13" s="1"/>
  <c r="AS48" i="13" s="1"/>
  <c r="AT48" i="13" s="1"/>
  <c r="AZ48" i="13" s="1"/>
  <c r="AL48" i="13"/>
  <c r="AM48" i="13"/>
  <c r="AE48" i="13"/>
  <c r="C50" i="12"/>
  <c r="BE49" i="12"/>
  <c r="E49" i="14" l="1"/>
  <c r="D49" i="14"/>
  <c r="AO48" i="13"/>
  <c r="AN48" i="13"/>
  <c r="AU48" i="13"/>
  <c r="AV48" i="13"/>
  <c r="AX48" i="13" s="1"/>
  <c r="BA48" i="13" s="1"/>
  <c r="D50" i="12"/>
  <c r="E50" i="12"/>
  <c r="F49" i="14" l="1"/>
  <c r="AW48" i="13"/>
  <c r="AY48" i="13" s="1"/>
  <c r="F50" i="12"/>
  <c r="G50" i="12" s="1"/>
  <c r="H50" i="12" s="1"/>
  <c r="I50" i="12" s="1"/>
  <c r="J49" i="14" l="1"/>
  <c r="G49" i="14"/>
  <c r="H49" i="14" s="1"/>
  <c r="I49" i="14" s="1"/>
  <c r="BB48" i="13"/>
  <c r="BF48" i="13"/>
  <c r="BG48" i="13" s="1"/>
  <c r="J50" i="12"/>
  <c r="N50" i="12" s="1"/>
  <c r="T50" i="12" s="1"/>
  <c r="BD50" i="12"/>
  <c r="K50" i="12"/>
  <c r="L50" i="12" s="1"/>
  <c r="M50" i="12" l="1"/>
  <c r="P50" i="12" s="1"/>
  <c r="BD49" i="14"/>
  <c r="K49" i="14"/>
  <c r="L49" i="14" s="1"/>
  <c r="M49" i="14" s="1"/>
  <c r="N49" i="14"/>
  <c r="C49" i="13"/>
  <c r="BE48" i="13"/>
  <c r="U50" i="12"/>
  <c r="V50" i="12" s="1"/>
  <c r="O50" i="12" l="1"/>
  <c r="U49" i="14"/>
  <c r="T49" i="14"/>
  <c r="V49" i="14" s="1"/>
  <c r="O49" i="14"/>
  <c r="P49" i="14"/>
  <c r="D49" i="13"/>
  <c r="E49" i="13"/>
  <c r="F49" i="13" s="1"/>
  <c r="W50" i="12"/>
  <c r="Q50" i="12"/>
  <c r="R50" i="12" s="1"/>
  <c r="S50" i="12" s="1"/>
  <c r="X50" i="12" s="1"/>
  <c r="AD50" i="12"/>
  <c r="AC50" i="12"/>
  <c r="Q49" i="14" l="1"/>
  <c r="R49" i="14" s="1"/>
  <c r="S49" i="14" s="1"/>
  <c r="W49" i="14"/>
  <c r="J49" i="13"/>
  <c r="G49" i="13"/>
  <c r="H49" i="13" s="1"/>
  <c r="I49" i="13" s="1"/>
  <c r="Y50" i="12"/>
  <c r="Z50" i="12" s="1"/>
  <c r="AA50" i="12" s="1"/>
  <c r="AB50" i="12" s="1"/>
  <c r="AF50" i="12"/>
  <c r="AL50" i="12" s="1"/>
  <c r="AE50" i="12"/>
  <c r="AD49" i="14" l="1"/>
  <c r="AC49" i="14"/>
  <c r="AE49" i="14" s="1"/>
  <c r="Y49" i="14"/>
  <c r="X49" i="14"/>
  <c r="Z49" i="14" s="1"/>
  <c r="AA49" i="14" s="1"/>
  <c r="AB49" i="14" s="1"/>
  <c r="BD49" i="13"/>
  <c r="K49" i="13"/>
  <c r="L49" i="13" s="1"/>
  <c r="M49" i="13" s="1"/>
  <c r="N49" i="13"/>
  <c r="AM50" i="12"/>
  <c r="AO50" i="12" s="1"/>
  <c r="AU50" i="12" s="1"/>
  <c r="AG50" i="12"/>
  <c r="AH50" i="12"/>
  <c r="AH49" i="14" l="1"/>
  <c r="AG49" i="14"/>
  <c r="AI49" i="14" s="1"/>
  <c r="AJ49" i="14" s="1"/>
  <c r="AK49" i="14" s="1"/>
  <c r="AF49" i="14"/>
  <c r="U49" i="13"/>
  <c r="T49" i="13"/>
  <c r="V49" i="13" s="1"/>
  <c r="O49" i="13"/>
  <c r="P49" i="13"/>
  <c r="AV50" i="12"/>
  <c r="AN50" i="12"/>
  <c r="AI50" i="12"/>
  <c r="AJ50" i="12" s="1"/>
  <c r="AK50" i="12" s="1"/>
  <c r="AW50" i="12"/>
  <c r="AX50" i="12"/>
  <c r="BA50" i="12" s="1"/>
  <c r="AP49" i="14" l="1"/>
  <c r="AQ49" i="14"/>
  <c r="AM49" i="14"/>
  <c r="AL49" i="14"/>
  <c r="AN49" i="14" s="1"/>
  <c r="Q49" i="13"/>
  <c r="R49" i="13" s="1"/>
  <c r="S49" i="13" s="1"/>
  <c r="W49" i="13"/>
  <c r="AQ50" i="12"/>
  <c r="AP50" i="12"/>
  <c r="AR50" i="12" l="1"/>
  <c r="AS50" i="12" s="1"/>
  <c r="AT50" i="12" s="1"/>
  <c r="AZ50" i="12" s="1"/>
  <c r="AO49" i="14"/>
  <c r="AR49" i="14"/>
  <c r="AS49" i="14" s="1"/>
  <c r="AT49" i="14" s="1"/>
  <c r="AZ49" i="14" s="1"/>
  <c r="AD49" i="13"/>
  <c r="AC49" i="13"/>
  <c r="AE49" i="13" s="1"/>
  <c r="Y49" i="13"/>
  <c r="X49" i="13"/>
  <c r="AY50" i="12"/>
  <c r="AV49" i="14" l="1"/>
  <c r="AU49" i="14"/>
  <c r="AW49" i="14" s="1"/>
  <c r="AY49" i="14" s="1"/>
  <c r="Z49" i="13"/>
  <c r="AA49" i="13" s="1"/>
  <c r="AB49" i="13" s="1"/>
  <c r="AF49" i="13"/>
  <c r="BB50" i="12"/>
  <c r="BF50" i="12"/>
  <c r="BG50" i="12" s="1"/>
  <c r="BF49" i="14" l="1"/>
  <c r="BG49" i="14" s="1"/>
  <c r="AX49" i="14"/>
  <c r="BA49" i="14" s="1"/>
  <c r="BB49" i="14" s="1"/>
  <c r="AM49" i="13"/>
  <c r="AL49" i="13"/>
  <c r="AN49" i="13" s="1"/>
  <c r="AG49" i="13"/>
  <c r="AH49" i="13"/>
  <c r="C51" i="12"/>
  <c r="BE50" i="12"/>
  <c r="BE49" i="14" l="1"/>
  <c r="C50" i="14"/>
  <c r="AI49" i="13"/>
  <c r="AJ49" i="13" s="1"/>
  <c r="AK49" i="13" s="1"/>
  <c r="AQ49" i="13"/>
  <c r="AP49" i="13"/>
  <c r="AR49" i="13" s="1"/>
  <c r="AS49" i="13" s="1"/>
  <c r="AT49" i="13" s="1"/>
  <c r="AZ49" i="13" s="1"/>
  <c r="AO49" i="13"/>
  <c r="D51" i="12"/>
  <c r="E51" i="12"/>
  <c r="E50" i="14" l="1"/>
  <c r="D50" i="14"/>
  <c r="AV49" i="13"/>
  <c r="AU49" i="13"/>
  <c r="F51" i="12"/>
  <c r="J51" i="12" s="1"/>
  <c r="F50" i="14" l="1"/>
  <c r="J50" i="14"/>
  <c r="G50" i="14"/>
  <c r="H50" i="14" s="1"/>
  <c r="I50" i="14" s="1"/>
  <c r="AX49" i="13"/>
  <c r="BA49" i="13" s="1"/>
  <c r="AW49" i="13"/>
  <c r="AY49" i="13" s="1"/>
  <c r="G51" i="12"/>
  <c r="H51" i="12" s="1"/>
  <c r="I51" i="12" s="1"/>
  <c r="K51" i="12" s="1"/>
  <c r="L51" i="12" s="1"/>
  <c r="M51" i="12" s="1"/>
  <c r="P51" i="12" s="1"/>
  <c r="K50" i="14" l="1"/>
  <c r="L50" i="14" s="1"/>
  <c r="M50" i="14" s="1"/>
  <c r="BD50" i="14"/>
  <c r="N50" i="14"/>
  <c r="BB49" i="13"/>
  <c r="BF49" i="13"/>
  <c r="BG49" i="13" s="1"/>
  <c r="O51" i="12"/>
  <c r="Q51" i="12" s="1"/>
  <c r="R51" i="12" s="1"/>
  <c r="S51" i="12" s="1"/>
  <c r="Y51" i="12" s="1"/>
  <c r="BD51" i="12"/>
  <c r="N51" i="12"/>
  <c r="T51" i="12" s="1"/>
  <c r="U50" i="14" l="1"/>
  <c r="T50" i="14"/>
  <c r="V50" i="14" s="1"/>
  <c r="P50" i="14"/>
  <c r="O50" i="14"/>
  <c r="BE49" i="13"/>
  <c r="C50" i="13"/>
  <c r="U51" i="12"/>
  <c r="W51" i="12" s="1"/>
  <c r="AD51" i="12" s="1"/>
  <c r="X51" i="12"/>
  <c r="Z51" i="12" s="1"/>
  <c r="AA51" i="12" s="1"/>
  <c r="AB51" i="12" s="1"/>
  <c r="Q50" i="14" l="1"/>
  <c r="R50" i="14" s="1"/>
  <c r="S50" i="14" s="1"/>
  <c r="X50" i="14"/>
  <c r="Y50" i="14"/>
  <c r="W50" i="14"/>
  <c r="E50" i="13"/>
  <c r="D50" i="13"/>
  <c r="V51" i="12"/>
  <c r="AC51" i="12"/>
  <c r="AE51" i="12" s="1"/>
  <c r="AH51" i="12"/>
  <c r="AG51" i="12"/>
  <c r="AI51" i="12" l="1"/>
  <c r="AJ51" i="12" s="1"/>
  <c r="AK51" i="12" s="1"/>
  <c r="AP51" i="12" s="1"/>
  <c r="AD50" i="14"/>
  <c r="AC50" i="14"/>
  <c r="AE50" i="14" s="1"/>
  <c r="Z50" i="14"/>
  <c r="AA50" i="14" s="1"/>
  <c r="AB50" i="14" s="1"/>
  <c r="F50" i="13"/>
  <c r="AF51" i="12"/>
  <c r="AQ51" i="12" l="1"/>
  <c r="AR51" i="12" s="1"/>
  <c r="AS51" i="12" s="1"/>
  <c r="AT51" i="12" s="1"/>
  <c r="AZ51" i="12" s="1"/>
  <c r="AH50" i="14"/>
  <c r="AG50" i="14"/>
  <c r="AF50" i="14"/>
  <c r="J50" i="13"/>
  <c r="G50" i="13"/>
  <c r="H50" i="13" s="1"/>
  <c r="I50" i="13" s="1"/>
  <c r="AL51" i="12"/>
  <c r="AM51" i="12"/>
  <c r="AO51" i="12" l="1"/>
  <c r="AU51" i="12" s="1"/>
  <c r="AM50" i="14"/>
  <c r="AL50" i="14"/>
  <c r="AN50" i="14" s="1"/>
  <c r="AI50" i="14"/>
  <c r="AJ50" i="14" s="1"/>
  <c r="AK50" i="14" s="1"/>
  <c r="K50" i="13"/>
  <c r="L50" i="13" s="1"/>
  <c r="M50" i="13" s="1"/>
  <c r="BD50" i="13"/>
  <c r="N50" i="13"/>
  <c r="AN51" i="12"/>
  <c r="AV51" i="12" l="1"/>
  <c r="AX51" i="12" s="1"/>
  <c r="BA51" i="12" s="1"/>
  <c r="AO50" i="14"/>
  <c r="AP50" i="14"/>
  <c r="AQ50" i="14"/>
  <c r="AV50" i="14"/>
  <c r="AU50" i="14"/>
  <c r="AW50" i="14" s="1"/>
  <c r="O50" i="13"/>
  <c r="P50" i="13"/>
  <c r="U50" i="13"/>
  <c r="T50" i="13"/>
  <c r="V50" i="13" s="1"/>
  <c r="AW51" i="12"/>
  <c r="AY51" i="12" s="1"/>
  <c r="AX50" i="14" l="1"/>
  <c r="BA50" i="14" s="1"/>
  <c r="AR50" i="14"/>
  <c r="AS50" i="14" s="1"/>
  <c r="AT50" i="14" s="1"/>
  <c r="AZ50" i="14" s="1"/>
  <c r="W50" i="13"/>
  <c r="Q50" i="13"/>
  <c r="R50" i="13" s="1"/>
  <c r="S50" i="13" s="1"/>
  <c r="BB51" i="12"/>
  <c r="BF51" i="12"/>
  <c r="BG51" i="12" s="1"/>
  <c r="AY50" i="14" l="1"/>
  <c r="Y50" i="13"/>
  <c r="X50" i="13"/>
  <c r="Z50" i="13" s="1"/>
  <c r="AA50" i="13" s="1"/>
  <c r="AB50" i="13" s="1"/>
  <c r="AD50" i="13"/>
  <c r="AC50" i="13"/>
  <c r="AE50" i="13" s="1"/>
  <c r="BE51" i="12"/>
  <c r="C52" i="12"/>
  <c r="BB50" i="14" l="1"/>
  <c r="BF50" i="14"/>
  <c r="BG50" i="14" s="1"/>
  <c r="AF50" i="13"/>
  <c r="AH50" i="13"/>
  <c r="AG50" i="13"/>
  <c r="D52" i="12"/>
  <c r="E52" i="12"/>
  <c r="F52" i="12" l="1"/>
  <c r="J52" i="12" s="1"/>
  <c r="BE50" i="14"/>
  <c r="C51" i="14"/>
  <c r="AI50" i="13"/>
  <c r="AJ50" i="13" s="1"/>
  <c r="AK50" i="13" s="1"/>
  <c r="AL50" i="13"/>
  <c r="AM50" i="13"/>
  <c r="AO50" i="13" s="1"/>
  <c r="G52" i="12" l="1"/>
  <c r="H52" i="12" s="1"/>
  <c r="I52" i="12" s="1"/>
  <c r="E51" i="14"/>
  <c r="D51" i="14"/>
  <c r="AN50" i="13"/>
  <c r="AV50" i="13"/>
  <c r="AU50" i="13"/>
  <c r="AW50" i="13" s="1"/>
  <c r="AQ50" i="13"/>
  <c r="AP50" i="13"/>
  <c r="AR50" i="13" s="1"/>
  <c r="AS50" i="13" s="1"/>
  <c r="AT50" i="13" s="1"/>
  <c r="AZ50" i="13" s="1"/>
  <c r="BD52" i="12" l="1"/>
  <c r="K52" i="12"/>
  <c r="L52" i="12" s="1"/>
  <c r="M52" i="12" s="1"/>
  <c r="N52" i="12"/>
  <c r="F51" i="14"/>
  <c r="AY50" i="13"/>
  <c r="AX50" i="13"/>
  <c r="BA50" i="13" s="1"/>
  <c r="T52" i="12" l="1"/>
  <c r="V52" i="12" s="1"/>
  <c r="U52" i="12"/>
  <c r="W52" i="12" s="1"/>
  <c r="AD52" i="12" s="1"/>
  <c r="O52" i="12"/>
  <c r="P52" i="12"/>
  <c r="J51" i="14"/>
  <c r="G51" i="14"/>
  <c r="H51" i="14" s="1"/>
  <c r="I51" i="14" s="1"/>
  <c r="BB50" i="13"/>
  <c r="BF50" i="13"/>
  <c r="BG50" i="13" s="1"/>
  <c r="AC52" i="12"/>
  <c r="AE52" i="12" s="1"/>
  <c r="Q52" i="12" l="1"/>
  <c r="R52" i="12" s="1"/>
  <c r="S52" i="12" s="1"/>
  <c r="AF52" i="12"/>
  <c r="AL52" i="12" s="1"/>
  <c r="BD51" i="14"/>
  <c r="K51" i="14"/>
  <c r="L51" i="14" s="1"/>
  <c r="M51" i="14" s="1"/>
  <c r="N51" i="14"/>
  <c r="C51" i="13"/>
  <c r="BE50" i="13"/>
  <c r="AM52" i="12" l="1"/>
  <c r="X52" i="12"/>
  <c r="Y52" i="12"/>
  <c r="T51" i="14"/>
  <c r="U51" i="14"/>
  <c r="P51" i="14"/>
  <c r="O51" i="14"/>
  <c r="Q51" i="14" s="1"/>
  <c r="R51" i="14" s="1"/>
  <c r="S51" i="14" s="1"/>
  <c r="E51" i="13"/>
  <c r="D51" i="13"/>
  <c r="AN52" i="12"/>
  <c r="AO52" i="12"/>
  <c r="Z52" i="12" l="1"/>
  <c r="AA52" i="12" s="1"/>
  <c r="AB52" i="12" s="1"/>
  <c r="V51" i="14"/>
  <c r="Y51" i="14"/>
  <c r="X51" i="14"/>
  <c r="Z51" i="14" s="1"/>
  <c r="AA51" i="14" s="1"/>
  <c r="AB51" i="14" s="1"/>
  <c r="W51" i="14"/>
  <c r="F51" i="13"/>
  <c r="AU52" i="12"/>
  <c r="AV52" i="12"/>
  <c r="AG52" i="12" l="1"/>
  <c r="AH52" i="12"/>
  <c r="AD51" i="14"/>
  <c r="AC51" i="14"/>
  <c r="AE51" i="14" s="1"/>
  <c r="AH51" i="14"/>
  <c r="AG51" i="14"/>
  <c r="AI51" i="14" s="1"/>
  <c r="AJ51" i="14" s="1"/>
  <c r="AK51" i="14" s="1"/>
  <c r="J51" i="13"/>
  <c r="G51" i="13"/>
  <c r="H51" i="13" s="1"/>
  <c r="I51" i="13" s="1"/>
  <c r="AX52" i="12"/>
  <c r="BA52" i="12" s="1"/>
  <c r="AW52" i="12"/>
  <c r="AI52" i="12" l="1"/>
  <c r="AJ52" i="12" s="1"/>
  <c r="AK52" i="12" s="1"/>
  <c r="AF51" i="14"/>
  <c r="AQ51" i="14"/>
  <c r="AP51" i="14"/>
  <c r="AR51" i="14" s="1"/>
  <c r="AS51" i="14" s="1"/>
  <c r="AT51" i="14" s="1"/>
  <c r="AZ51" i="14" s="1"/>
  <c r="AL51" i="14"/>
  <c r="AM51" i="14"/>
  <c r="AO51" i="14" s="1"/>
  <c r="BD51" i="13"/>
  <c r="K51" i="13"/>
  <c r="L51" i="13" s="1"/>
  <c r="M51" i="13" s="1"/>
  <c r="N51" i="13"/>
  <c r="AP52" i="12" l="1"/>
  <c r="AQ52" i="12"/>
  <c r="AN51" i="14"/>
  <c r="AV51" i="14"/>
  <c r="AU51" i="14"/>
  <c r="AW51" i="14" s="1"/>
  <c r="AY51" i="14" s="1"/>
  <c r="U51" i="13"/>
  <c r="T51" i="13"/>
  <c r="V51" i="13" s="1"/>
  <c r="O51" i="13"/>
  <c r="P51" i="13"/>
  <c r="AR52" i="12" l="1"/>
  <c r="BF51" i="14"/>
  <c r="BG51" i="14" s="1"/>
  <c r="AX51" i="14"/>
  <c r="BA51" i="14" s="1"/>
  <c r="BB51" i="14" s="1"/>
  <c r="Q51" i="13"/>
  <c r="R51" i="13" s="1"/>
  <c r="S51" i="13" s="1"/>
  <c r="W51" i="13"/>
  <c r="AS52" i="12" l="1"/>
  <c r="AT52" i="12" s="1"/>
  <c r="AZ52" i="12" s="1"/>
  <c r="AY52" i="12"/>
  <c r="C52" i="14"/>
  <c r="BE51" i="14"/>
  <c r="AD51" i="13"/>
  <c r="AC51" i="13"/>
  <c r="AE51" i="13" s="1"/>
  <c r="X51" i="13"/>
  <c r="Y51" i="13"/>
  <c r="BB52" i="12" l="1"/>
  <c r="BF52" i="12"/>
  <c r="BG52" i="12" s="1"/>
  <c r="D52" i="14"/>
  <c r="E52" i="14"/>
  <c r="F52" i="14" s="1"/>
  <c r="Z51" i="13"/>
  <c r="AA51" i="13" s="1"/>
  <c r="AB51" i="13" s="1"/>
  <c r="AF51" i="13"/>
  <c r="BE52" i="12" l="1"/>
  <c r="C53" i="12"/>
  <c r="J52" i="14"/>
  <c r="G52" i="14"/>
  <c r="H52" i="14" s="1"/>
  <c r="I52" i="14" s="1"/>
  <c r="AM51" i="13"/>
  <c r="AL51" i="13"/>
  <c r="AG51" i="13"/>
  <c r="AH51" i="13"/>
  <c r="D53" i="12" l="1"/>
  <c r="E53" i="12"/>
  <c r="F53" i="12" s="1"/>
  <c r="BD52" i="14"/>
  <c r="K52" i="14"/>
  <c r="L52" i="14" s="1"/>
  <c r="M52" i="14" s="1"/>
  <c r="N52" i="14"/>
  <c r="AO51" i="13"/>
  <c r="AV51" i="13"/>
  <c r="AU51" i="13"/>
  <c r="AI51" i="13"/>
  <c r="AJ51" i="13" s="1"/>
  <c r="AK51" i="13" s="1"/>
  <c r="AN51" i="13"/>
  <c r="J53" i="12" l="1"/>
  <c r="G53" i="12"/>
  <c r="H53" i="12" s="1"/>
  <c r="I53" i="12" s="1"/>
  <c r="U52" i="14"/>
  <c r="T52" i="14"/>
  <c r="V52" i="14" s="1"/>
  <c r="P52" i="14"/>
  <c r="O52" i="14"/>
  <c r="Q52" i="14" s="1"/>
  <c r="R52" i="14" s="1"/>
  <c r="S52" i="14" s="1"/>
  <c r="AX51" i="13"/>
  <c r="BA51" i="13" s="1"/>
  <c r="AP51" i="13"/>
  <c r="AQ51" i="13"/>
  <c r="AW51" i="13"/>
  <c r="BD53" i="12" l="1"/>
  <c r="K53" i="12"/>
  <c r="L53" i="12" s="1"/>
  <c r="M53" i="12" s="1"/>
  <c r="N53" i="12"/>
  <c r="Y52" i="14"/>
  <c r="X52" i="14"/>
  <c r="Z52" i="14" s="1"/>
  <c r="AA52" i="14" s="1"/>
  <c r="AB52" i="14" s="1"/>
  <c r="W52" i="14"/>
  <c r="AR51" i="13"/>
  <c r="AS51" i="13" s="1"/>
  <c r="AT51" i="13" s="1"/>
  <c r="AZ51" i="13" s="1"/>
  <c r="U53" i="12" l="1"/>
  <c r="T53" i="12"/>
  <c r="V53" i="12" s="1"/>
  <c r="P53" i="12"/>
  <c r="O53" i="12"/>
  <c r="AD52" i="14"/>
  <c r="AC52" i="14"/>
  <c r="AE52" i="14" s="1"/>
  <c r="AH52" i="14"/>
  <c r="AG52" i="14"/>
  <c r="AY51" i="13"/>
  <c r="Q53" i="12" l="1"/>
  <c r="R53" i="12" s="1"/>
  <c r="S53" i="12" s="1"/>
  <c r="W53" i="12"/>
  <c r="AI52" i="14"/>
  <c r="AJ52" i="14" s="1"/>
  <c r="AK52" i="14" s="1"/>
  <c r="AQ52" i="14"/>
  <c r="AP52" i="14"/>
  <c r="AF52" i="14"/>
  <c r="BB51" i="13"/>
  <c r="BF51" i="13"/>
  <c r="BG51" i="13" s="1"/>
  <c r="AC53" i="12" l="1"/>
  <c r="AD53" i="12"/>
  <c r="AF53" i="12" s="1"/>
  <c r="Y53" i="12"/>
  <c r="X53" i="12"/>
  <c r="Z53" i="12" s="1"/>
  <c r="AA53" i="12" s="1"/>
  <c r="AB53" i="12" s="1"/>
  <c r="AR52" i="14"/>
  <c r="AS52" i="14" s="1"/>
  <c r="AT52" i="14" s="1"/>
  <c r="AZ52" i="14" s="1"/>
  <c r="AM52" i="14"/>
  <c r="AL52" i="14"/>
  <c r="AN52" i="14" s="1"/>
  <c r="BE51" i="13"/>
  <c r="C52" i="13"/>
  <c r="AH53" i="12" l="1"/>
  <c r="AG53" i="12"/>
  <c r="AI53" i="12" s="1"/>
  <c r="AJ53" i="12" s="1"/>
  <c r="AK53" i="12" s="1"/>
  <c r="AL53" i="12"/>
  <c r="AM53" i="12"/>
  <c r="AO53" i="12" s="1"/>
  <c r="AE53" i="12"/>
  <c r="AO52" i="14"/>
  <c r="E52" i="13"/>
  <c r="D52" i="13"/>
  <c r="AP53" i="12" l="1"/>
  <c r="AQ53" i="12"/>
  <c r="AR53" i="12" s="1"/>
  <c r="AS53" i="12" s="1"/>
  <c r="AT53" i="12" s="1"/>
  <c r="AZ53" i="12" s="1"/>
  <c r="AU53" i="12"/>
  <c r="AW53" i="12" s="1"/>
  <c r="AV53" i="12"/>
  <c r="AX53" i="12" s="1"/>
  <c r="BA53" i="12" s="1"/>
  <c r="AN53" i="12"/>
  <c r="AV52" i="14"/>
  <c r="AU52" i="14"/>
  <c r="AW52" i="14" s="1"/>
  <c r="AY52" i="14" s="1"/>
  <c r="F52" i="13"/>
  <c r="J52" i="13"/>
  <c r="G52" i="13"/>
  <c r="H52" i="13" s="1"/>
  <c r="I52" i="13" s="1"/>
  <c r="AY53" i="12" l="1"/>
  <c r="BF52" i="14"/>
  <c r="BG52" i="14" s="1"/>
  <c r="AX52" i="14"/>
  <c r="BA52" i="14" s="1"/>
  <c r="BB52" i="14" s="1"/>
  <c r="K52" i="13"/>
  <c r="L52" i="13" s="1"/>
  <c r="M52" i="13" s="1"/>
  <c r="BD52" i="13"/>
  <c r="N52" i="13"/>
  <c r="BF53" i="12" l="1"/>
  <c r="BG53" i="12" s="1"/>
  <c r="BB53" i="12"/>
  <c r="BE52" i="14"/>
  <c r="C53" i="14"/>
  <c r="T52" i="13"/>
  <c r="U52" i="13"/>
  <c r="W52" i="13" s="1"/>
  <c r="P52" i="13"/>
  <c r="O52" i="13"/>
  <c r="Q52" i="13" s="1"/>
  <c r="R52" i="13" s="1"/>
  <c r="S52" i="13" s="1"/>
  <c r="C54" i="12" l="1"/>
  <c r="BE53" i="12"/>
  <c r="E53" i="14"/>
  <c r="D53" i="14"/>
  <c r="AC52" i="13"/>
  <c r="AD52" i="13"/>
  <c r="AF52" i="13" s="1"/>
  <c r="V52" i="13"/>
  <c r="Y52" i="13"/>
  <c r="X52" i="13"/>
  <c r="Z52" i="13" s="1"/>
  <c r="AA52" i="13" s="1"/>
  <c r="AB52" i="13" s="1"/>
  <c r="E54" i="12" l="1"/>
  <c r="D54" i="12"/>
  <c r="F53" i="14"/>
  <c r="AH52" i="13"/>
  <c r="AG52" i="13"/>
  <c r="AI52" i="13" s="1"/>
  <c r="AJ52" i="13" s="1"/>
  <c r="AK52" i="13" s="1"/>
  <c r="AM52" i="13"/>
  <c r="AL52" i="13"/>
  <c r="AN52" i="13" s="1"/>
  <c r="AE52" i="13"/>
  <c r="F54" i="12" l="1"/>
  <c r="J53" i="14"/>
  <c r="G53" i="14"/>
  <c r="H53" i="14" s="1"/>
  <c r="I53" i="14" s="1"/>
  <c r="AO52" i="13"/>
  <c r="AP52" i="13"/>
  <c r="AQ52" i="13"/>
  <c r="J54" i="12" l="1"/>
  <c r="G54" i="12"/>
  <c r="H54" i="12" s="1"/>
  <c r="I54" i="12" s="1"/>
  <c r="K53" i="14"/>
  <c r="L53" i="14" s="1"/>
  <c r="M53" i="14" s="1"/>
  <c r="BD53" i="14"/>
  <c r="N53" i="14"/>
  <c r="AR52" i="13"/>
  <c r="AS52" i="13" s="1"/>
  <c r="AT52" i="13" s="1"/>
  <c r="AZ52" i="13" s="1"/>
  <c r="AU52" i="13"/>
  <c r="AV52" i="13"/>
  <c r="AX52" i="13" s="1"/>
  <c r="BA52" i="13" s="1"/>
  <c r="BD54" i="12" l="1"/>
  <c r="K54" i="12"/>
  <c r="L54" i="12" s="1"/>
  <c r="M54" i="12" s="1"/>
  <c r="N54" i="12"/>
  <c r="P53" i="14"/>
  <c r="O53" i="14"/>
  <c r="Q53" i="14" s="1"/>
  <c r="R53" i="14" s="1"/>
  <c r="S53" i="14" s="1"/>
  <c r="U53" i="14"/>
  <c r="T53" i="14"/>
  <c r="AW52" i="13"/>
  <c r="AY52" i="13" s="1"/>
  <c r="T54" i="12" l="1"/>
  <c r="U54" i="12"/>
  <c r="W54" i="12" s="1"/>
  <c r="O54" i="12"/>
  <c r="P54" i="12"/>
  <c r="V53" i="14"/>
  <c r="W53" i="14"/>
  <c r="X53" i="14"/>
  <c r="Y53" i="14"/>
  <c r="BB52" i="13"/>
  <c r="BF52" i="13"/>
  <c r="BG52" i="13" s="1"/>
  <c r="Q54" i="12" l="1"/>
  <c r="R54" i="12" s="1"/>
  <c r="S54" i="12" s="1"/>
  <c r="AC54" i="12"/>
  <c r="AE54" i="12" s="1"/>
  <c r="AD54" i="12"/>
  <c r="V54" i="12"/>
  <c r="Z53" i="14"/>
  <c r="AA53" i="14" s="1"/>
  <c r="AB53" i="14" s="1"/>
  <c r="AD53" i="14"/>
  <c r="AC53" i="14"/>
  <c r="AE53" i="14" s="1"/>
  <c r="BE52" i="13"/>
  <c r="C53" i="13"/>
  <c r="AF54" i="12" l="1"/>
  <c r="Y54" i="12"/>
  <c r="X54" i="12"/>
  <c r="Z54" i="12" s="1"/>
  <c r="AA54" i="12" s="1"/>
  <c r="AB54" i="12" s="1"/>
  <c r="AF53" i="14"/>
  <c r="AH53" i="14"/>
  <c r="AG53" i="14"/>
  <c r="AI53" i="14" s="1"/>
  <c r="AJ53" i="14" s="1"/>
  <c r="AK53" i="14" s="1"/>
  <c r="E53" i="13"/>
  <c r="D53" i="13"/>
  <c r="AG54" i="12" l="1"/>
  <c r="AH54" i="12"/>
  <c r="AM54" i="12"/>
  <c r="AO54" i="12" s="1"/>
  <c r="AL54" i="12"/>
  <c r="AN54" i="12" s="1"/>
  <c r="AP53" i="14"/>
  <c r="AQ53" i="14"/>
  <c r="AM53" i="14"/>
  <c r="AL53" i="14"/>
  <c r="AN53" i="14" s="1"/>
  <c r="F53" i="13"/>
  <c r="AV54" i="12" l="1"/>
  <c r="AU54" i="12"/>
  <c r="AI54" i="12"/>
  <c r="AJ54" i="12" s="1"/>
  <c r="AK54" i="12" s="1"/>
  <c r="AO53" i="14"/>
  <c r="AV53" i="14"/>
  <c r="AU53" i="14"/>
  <c r="AW53" i="14" s="1"/>
  <c r="AR53" i="14"/>
  <c r="AS53" i="14" s="1"/>
  <c r="AT53" i="14" s="1"/>
  <c r="AZ53" i="14" s="1"/>
  <c r="J53" i="13"/>
  <c r="G53" i="13"/>
  <c r="H53" i="13" s="1"/>
  <c r="I53" i="13" s="1"/>
  <c r="AQ54" i="12" l="1"/>
  <c r="AP54" i="12"/>
  <c r="AR54" i="12" s="1"/>
  <c r="AS54" i="12" s="1"/>
  <c r="AT54" i="12" s="1"/>
  <c r="AZ54" i="12" s="1"/>
  <c r="AX54" i="12"/>
  <c r="BA54" i="12" s="1"/>
  <c r="AW54" i="12"/>
  <c r="AY53" i="14"/>
  <c r="BF53" i="14"/>
  <c r="BG53" i="14" s="1"/>
  <c r="AX53" i="14"/>
  <c r="BA53" i="14" s="1"/>
  <c r="BB53" i="14" s="1"/>
  <c r="BD53" i="13"/>
  <c r="K53" i="13"/>
  <c r="L53" i="13" s="1"/>
  <c r="M53" i="13" s="1"/>
  <c r="N53" i="13"/>
  <c r="AY54" i="12"/>
  <c r="BB54" i="12" s="1"/>
  <c r="BE53" i="14" l="1"/>
  <c r="C54" i="14"/>
  <c r="O53" i="13"/>
  <c r="P53" i="13"/>
  <c r="T53" i="13"/>
  <c r="U53" i="13"/>
  <c r="W53" i="13" s="1"/>
  <c r="BF54" i="12"/>
  <c r="BG54" i="12" s="1"/>
  <c r="C55" i="12"/>
  <c r="BE54" i="12"/>
  <c r="E54" i="14" l="1"/>
  <c r="D54" i="14"/>
  <c r="V53" i="13"/>
  <c r="AD53" i="13"/>
  <c r="AC53" i="13"/>
  <c r="AE53" i="13" s="1"/>
  <c r="Q53" i="13"/>
  <c r="R53" i="13" s="1"/>
  <c r="S53" i="13" s="1"/>
  <c r="E55" i="12"/>
  <c r="D55" i="12"/>
  <c r="F54" i="14" l="1"/>
  <c r="Y53" i="13"/>
  <c r="X53" i="13"/>
  <c r="Z53" i="13" s="1"/>
  <c r="AA53" i="13" s="1"/>
  <c r="AB53" i="13" s="1"/>
  <c r="AF53" i="13"/>
  <c r="F55" i="12"/>
  <c r="J55" i="12" s="1"/>
  <c r="G55" i="12" l="1"/>
  <c r="H55" i="12" s="1"/>
  <c r="I55" i="12" s="1"/>
  <c r="J54" i="14"/>
  <c r="G54" i="14"/>
  <c r="H54" i="14" s="1"/>
  <c r="I54" i="14" s="1"/>
  <c r="AM53" i="13"/>
  <c r="AL53" i="13"/>
  <c r="AN53" i="13" s="1"/>
  <c r="AG53" i="13"/>
  <c r="AH53" i="13"/>
  <c r="N55" i="12"/>
  <c r="T55" i="12" s="1"/>
  <c r="K55" i="12"/>
  <c r="L55" i="12" s="1"/>
  <c r="M55" i="12" s="1"/>
  <c r="BD55" i="12"/>
  <c r="N54" i="14" l="1"/>
  <c r="BD54" i="14"/>
  <c r="K54" i="14"/>
  <c r="L54" i="14" s="1"/>
  <c r="M54" i="14" s="1"/>
  <c r="AI53" i="13"/>
  <c r="AJ53" i="13" s="1"/>
  <c r="AK53" i="13" s="1"/>
  <c r="AO53" i="13"/>
  <c r="U55" i="12"/>
  <c r="W55" i="12" s="1"/>
  <c r="AC55" i="12" s="1"/>
  <c r="P55" i="12"/>
  <c r="O55" i="12"/>
  <c r="T54" i="14" l="1"/>
  <c r="U54" i="14"/>
  <c r="W54" i="14" s="1"/>
  <c r="P54" i="14"/>
  <c r="O54" i="14"/>
  <c r="AQ53" i="13"/>
  <c r="AP53" i="13"/>
  <c r="AR53" i="13" s="1"/>
  <c r="AS53" i="13" s="1"/>
  <c r="AT53" i="13" s="1"/>
  <c r="AZ53" i="13" s="1"/>
  <c r="AV53" i="13"/>
  <c r="AU53" i="13"/>
  <c r="V55" i="12"/>
  <c r="Q55" i="12"/>
  <c r="R55" i="12" s="1"/>
  <c r="S55" i="12" s="1"/>
  <c r="Y55" i="12" s="1"/>
  <c r="AD55" i="12"/>
  <c r="AF55" i="12" s="1"/>
  <c r="X55" i="12" l="1"/>
  <c r="Q54" i="14"/>
  <c r="R54" i="14" s="1"/>
  <c r="S54" i="14" s="1"/>
  <c r="V54" i="14"/>
  <c r="AD54" i="14"/>
  <c r="AC54" i="14"/>
  <c r="AE54" i="14" s="1"/>
  <c r="AW53" i="13"/>
  <c r="AY53" i="13" s="1"/>
  <c r="BF53" i="13"/>
  <c r="BG53" i="13" s="1"/>
  <c r="AX53" i="13"/>
  <c r="BA53" i="13" s="1"/>
  <c r="BB53" i="13" s="1"/>
  <c r="AM55" i="12"/>
  <c r="AL55" i="12"/>
  <c r="AE55" i="12"/>
  <c r="Z55" i="12"/>
  <c r="AA55" i="12" s="1"/>
  <c r="AB55" i="12" s="1"/>
  <c r="AF54" i="14" l="1"/>
  <c r="AL54" i="14"/>
  <c r="AM54" i="14"/>
  <c r="Y54" i="14"/>
  <c r="X54" i="14"/>
  <c r="C54" i="13"/>
  <c r="BE53" i="13"/>
  <c r="AO55" i="12"/>
  <c r="AU55" i="12" s="1"/>
  <c r="AN55" i="12"/>
  <c r="AH55" i="12"/>
  <c r="AG55" i="12"/>
  <c r="Z54" i="14" l="1"/>
  <c r="AA54" i="14" s="1"/>
  <c r="AB54" i="14" s="1"/>
  <c r="AH54" i="14" s="1"/>
  <c r="AN54" i="14"/>
  <c r="AO54" i="14"/>
  <c r="E54" i="13"/>
  <c r="D54" i="13"/>
  <c r="AV55" i="12"/>
  <c r="AX55" i="12" s="1"/>
  <c r="BA55" i="12" s="1"/>
  <c r="AI55" i="12"/>
  <c r="AJ55" i="12" s="1"/>
  <c r="AK55" i="12" s="1"/>
  <c r="AP55" i="12" s="1"/>
  <c r="AG54" i="14" l="1"/>
  <c r="AI54" i="14" s="1"/>
  <c r="AJ54" i="14" s="1"/>
  <c r="AK54" i="14" s="1"/>
  <c r="AQ54" i="14" s="1"/>
  <c r="AU54" i="14"/>
  <c r="AV54" i="14"/>
  <c r="F54" i="13"/>
  <c r="AW55" i="12"/>
  <c r="AQ55" i="12"/>
  <c r="AR55" i="12" s="1"/>
  <c r="AS55" i="12" s="1"/>
  <c r="AT55" i="12" s="1"/>
  <c r="AZ55" i="12" s="1"/>
  <c r="AP54" i="14" l="1"/>
  <c r="AR54" i="14"/>
  <c r="AS54" i="14" s="1"/>
  <c r="AT54" i="14" s="1"/>
  <c r="AZ54" i="14" s="1"/>
  <c r="AW54" i="14"/>
  <c r="AY54" i="14" s="1"/>
  <c r="BF54" i="14"/>
  <c r="BG54" i="14" s="1"/>
  <c r="AX54" i="14"/>
  <c r="BA54" i="14" s="1"/>
  <c r="BB54" i="14" s="1"/>
  <c r="J54" i="13"/>
  <c r="G54" i="13"/>
  <c r="H54" i="13" s="1"/>
  <c r="I54" i="13" s="1"/>
  <c r="AY55" i="12"/>
  <c r="BB55" i="12" s="1"/>
  <c r="BE54" i="14" l="1"/>
  <c r="C55" i="14"/>
  <c r="BD54" i="13"/>
  <c r="K54" i="13"/>
  <c r="L54" i="13" s="1"/>
  <c r="M54" i="13" s="1"/>
  <c r="N54" i="13"/>
  <c r="BF55" i="12"/>
  <c r="BG55" i="12" s="1"/>
  <c r="C56" i="12"/>
  <c r="BE55" i="12"/>
  <c r="D55" i="14" l="1"/>
  <c r="E55" i="14"/>
  <c r="P54" i="13"/>
  <c r="O54" i="13"/>
  <c r="Q54" i="13" s="1"/>
  <c r="R54" i="13" s="1"/>
  <c r="S54" i="13" s="1"/>
  <c r="T54" i="13"/>
  <c r="U54" i="13"/>
  <c r="W54" i="13" s="1"/>
  <c r="D56" i="12"/>
  <c r="E56" i="12"/>
  <c r="F55" i="14" l="1"/>
  <c r="AC54" i="13"/>
  <c r="AD54" i="13"/>
  <c r="AF54" i="13" s="1"/>
  <c r="V54" i="13"/>
  <c r="Y54" i="13"/>
  <c r="X54" i="13"/>
  <c r="Z54" i="13" s="1"/>
  <c r="AA54" i="13" s="1"/>
  <c r="AB54" i="13" s="1"/>
  <c r="F56" i="12"/>
  <c r="J56" i="12" s="1"/>
  <c r="G56" i="12" l="1"/>
  <c r="H56" i="12" s="1"/>
  <c r="I56" i="12" s="1"/>
  <c r="BD56" i="12" s="1"/>
  <c r="J55" i="14"/>
  <c r="G55" i="14"/>
  <c r="H55" i="14" s="1"/>
  <c r="I55" i="14" s="1"/>
  <c r="AH54" i="13"/>
  <c r="AG54" i="13"/>
  <c r="AM54" i="13"/>
  <c r="AL54" i="13"/>
  <c r="AN54" i="13" s="1"/>
  <c r="AE54" i="13"/>
  <c r="N56" i="12" l="1"/>
  <c r="K56" i="12"/>
  <c r="L56" i="12" s="1"/>
  <c r="M56" i="12" s="1"/>
  <c r="P56" i="12" s="1"/>
  <c r="BD55" i="14"/>
  <c r="K55" i="14"/>
  <c r="L55" i="14" s="1"/>
  <c r="M55" i="14" s="1"/>
  <c r="N55" i="14"/>
  <c r="AO54" i="13"/>
  <c r="AI54" i="13"/>
  <c r="AJ54" i="13" s="1"/>
  <c r="AK54" i="13" s="1"/>
  <c r="T56" i="12"/>
  <c r="U56" i="12"/>
  <c r="O56" i="12" l="1"/>
  <c r="U55" i="14"/>
  <c r="T55" i="14"/>
  <c r="P55" i="14"/>
  <c r="O55" i="14"/>
  <c r="AQ54" i="13"/>
  <c r="AP54" i="13"/>
  <c r="AR54" i="13" s="1"/>
  <c r="AS54" i="13" s="1"/>
  <c r="AT54" i="13" s="1"/>
  <c r="AZ54" i="13" s="1"/>
  <c r="AV54" i="13"/>
  <c r="AU54" i="13"/>
  <c r="AW54" i="13" s="1"/>
  <c r="Q56" i="12"/>
  <c r="R56" i="12" s="1"/>
  <c r="S56" i="12" s="1"/>
  <c r="Y56" i="12" s="1"/>
  <c r="W56" i="12"/>
  <c r="AC56" i="12" s="1"/>
  <c r="V56" i="12"/>
  <c r="Q55" i="14" l="1"/>
  <c r="R55" i="14" s="1"/>
  <c r="S55" i="14" s="1"/>
  <c r="Y55" i="14" s="1"/>
  <c r="V55" i="14"/>
  <c r="W55" i="14"/>
  <c r="AY54" i="13"/>
  <c r="AX54" i="13"/>
  <c r="BA54" i="13" s="1"/>
  <c r="X56" i="12"/>
  <c r="Z56" i="12" s="1"/>
  <c r="AA56" i="12" s="1"/>
  <c r="AB56" i="12" s="1"/>
  <c r="AH56" i="12" s="1"/>
  <c r="AD56" i="12"/>
  <c r="AF56" i="12" s="1"/>
  <c r="AM56" i="12" s="1"/>
  <c r="X55" i="14" l="1"/>
  <c r="Z55" i="14" s="1"/>
  <c r="AA55" i="14" s="1"/>
  <c r="AB55" i="14" s="1"/>
  <c r="AD55" i="14"/>
  <c r="AC55" i="14"/>
  <c r="AH55" i="14"/>
  <c r="AG55" i="14"/>
  <c r="BB54" i="13"/>
  <c r="BF54" i="13"/>
  <c r="BG54" i="13" s="1"/>
  <c r="AE56" i="12"/>
  <c r="AG56" i="12"/>
  <c r="AI56" i="12" s="1"/>
  <c r="AJ56" i="12" s="1"/>
  <c r="AK56" i="12" s="1"/>
  <c r="AL56" i="12"/>
  <c r="AN56" i="12" s="1"/>
  <c r="AO56" i="12"/>
  <c r="AF55" i="14" l="1"/>
  <c r="AM55" i="14" s="1"/>
  <c r="AI55" i="14"/>
  <c r="AJ55" i="14" s="1"/>
  <c r="AK55" i="14" s="1"/>
  <c r="AE55" i="14"/>
  <c r="C55" i="13"/>
  <c r="BE54" i="13"/>
  <c r="AV56" i="12"/>
  <c r="AU56" i="12"/>
  <c r="AP56" i="12"/>
  <c r="AQ56" i="12"/>
  <c r="AL55" i="14" l="1"/>
  <c r="AN55" i="14" s="1"/>
  <c r="AQ55" i="14"/>
  <c r="AP55" i="14"/>
  <c r="E55" i="13"/>
  <c r="D55" i="13"/>
  <c r="AW56" i="12"/>
  <c r="AR56" i="12"/>
  <c r="AS56" i="12" s="1"/>
  <c r="AT56" i="12" s="1"/>
  <c r="AZ56" i="12" s="1"/>
  <c r="AX56" i="12"/>
  <c r="BA56" i="12" s="1"/>
  <c r="AY56" i="12" l="1"/>
  <c r="BF56" i="12" s="1"/>
  <c r="BG56" i="12" s="1"/>
  <c r="AO55" i="14"/>
  <c r="AR55" i="14"/>
  <c r="AS55" i="14" s="1"/>
  <c r="AT55" i="14" s="1"/>
  <c r="AZ55" i="14" s="1"/>
  <c r="AV55" i="14"/>
  <c r="AU55" i="14"/>
  <c r="AW55" i="14" s="1"/>
  <c r="AY55" i="14" s="1"/>
  <c r="F55" i="13"/>
  <c r="BB56" i="12"/>
  <c r="C57" i="12" s="1"/>
  <c r="BF55" i="14" l="1"/>
  <c r="BG55" i="14" s="1"/>
  <c r="AX55" i="14"/>
  <c r="BA55" i="14" s="1"/>
  <c r="BB55" i="14" s="1"/>
  <c r="J55" i="13"/>
  <c r="G55" i="13"/>
  <c r="H55" i="13" s="1"/>
  <c r="I55" i="13" s="1"/>
  <c r="BE56" i="12"/>
  <c r="E57" i="12"/>
  <c r="D57" i="12"/>
  <c r="C56" i="14" l="1"/>
  <c r="BE55" i="14"/>
  <c r="K55" i="13"/>
  <c r="L55" i="13" s="1"/>
  <c r="M55" i="13" s="1"/>
  <c r="BD55" i="13"/>
  <c r="N55" i="13"/>
  <c r="F57" i="12"/>
  <c r="D56" i="14" l="1"/>
  <c r="E56" i="14"/>
  <c r="F56" i="14" s="1"/>
  <c r="U55" i="13"/>
  <c r="T55" i="13"/>
  <c r="O55" i="13"/>
  <c r="P55" i="13"/>
  <c r="G57" i="12"/>
  <c r="H57" i="12" s="1"/>
  <c r="I57" i="12" s="1"/>
  <c r="J57" i="12"/>
  <c r="J56" i="14" l="1"/>
  <c r="G56" i="14"/>
  <c r="H56" i="14" s="1"/>
  <c r="I56" i="14" s="1"/>
  <c r="W55" i="13"/>
  <c r="Q55" i="13"/>
  <c r="R55" i="13" s="1"/>
  <c r="S55" i="13" s="1"/>
  <c r="V55" i="13"/>
  <c r="AD55" i="13"/>
  <c r="AC55" i="13"/>
  <c r="AE55" i="13" s="1"/>
  <c r="N57" i="12"/>
  <c r="K57" i="12"/>
  <c r="L57" i="12" s="1"/>
  <c r="M57" i="12" s="1"/>
  <c r="BD57" i="12"/>
  <c r="K56" i="14" l="1"/>
  <c r="L56" i="14" s="1"/>
  <c r="M56" i="14" s="1"/>
  <c r="BD56" i="14"/>
  <c r="N56" i="14"/>
  <c r="AF55" i="13"/>
  <c r="Y55" i="13"/>
  <c r="X55" i="13"/>
  <c r="P57" i="12"/>
  <c r="O57" i="12"/>
  <c r="T57" i="12"/>
  <c r="U57" i="12"/>
  <c r="U56" i="14" l="1"/>
  <c r="T56" i="14"/>
  <c r="O56" i="14"/>
  <c r="P56" i="14"/>
  <c r="AM55" i="13"/>
  <c r="AL55" i="13"/>
  <c r="AN55" i="13" s="1"/>
  <c r="Z55" i="13"/>
  <c r="AA55" i="13" s="1"/>
  <c r="AB55" i="13" s="1"/>
  <c r="Q57" i="12"/>
  <c r="R57" i="12" s="1"/>
  <c r="S57" i="12" s="1"/>
  <c r="X57" i="12" s="1"/>
  <c r="V57" i="12"/>
  <c r="W57" i="12"/>
  <c r="W56" i="14" l="1"/>
  <c r="AD56" i="14" s="1"/>
  <c r="AC56" i="14"/>
  <c r="Q56" i="14"/>
  <c r="R56" i="14" s="1"/>
  <c r="S56" i="14" s="1"/>
  <c r="V56" i="14"/>
  <c r="AO55" i="13"/>
  <c r="AG55" i="13"/>
  <c r="AH55" i="13"/>
  <c r="Y57" i="12"/>
  <c r="AC57" i="12"/>
  <c r="AD57" i="12"/>
  <c r="Z57" i="12"/>
  <c r="AA57" i="12" s="1"/>
  <c r="AB57" i="12" s="1"/>
  <c r="AE56" i="14" l="1"/>
  <c r="X56" i="14"/>
  <c r="Y56" i="14"/>
  <c r="AF56" i="14"/>
  <c r="AI55" i="13"/>
  <c r="AJ55" i="13" s="1"/>
  <c r="AK55" i="13" s="1"/>
  <c r="AQ55" i="13"/>
  <c r="AP55" i="13"/>
  <c r="AV55" i="13"/>
  <c r="AU55" i="13"/>
  <c r="AF57" i="12"/>
  <c r="AM57" i="12" s="1"/>
  <c r="AH57" i="12"/>
  <c r="AG57" i="12"/>
  <c r="AE57" i="12"/>
  <c r="Z56" i="14" l="1"/>
  <c r="AA56" i="14" s="1"/>
  <c r="AB56" i="14" s="1"/>
  <c r="AG56" i="14" s="1"/>
  <c r="AM56" i="14"/>
  <c r="AL56" i="14"/>
  <c r="AW55" i="13"/>
  <c r="AX55" i="13"/>
  <c r="BA55" i="13" s="1"/>
  <c r="AR55" i="13"/>
  <c r="AS55" i="13" s="1"/>
  <c r="AT55" i="13" s="1"/>
  <c r="AZ55" i="13" s="1"/>
  <c r="AL57" i="12"/>
  <c r="AO57" i="12" s="1"/>
  <c r="AI57" i="12"/>
  <c r="AJ57" i="12" s="1"/>
  <c r="AK57" i="12" s="1"/>
  <c r="AH56" i="14" l="1"/>
  <c r="AI56" i="14" s="1"/>
  <c r="AJ56" i="14" s="1"/>
  <c r="AK56" i="14" s="1"/>
  <c r="AO56" i="14"/>
  <c r="AU56" i="14" s="1"/>
  <c r="AN56" i="14"/>
  <c r="AY55" i="13"/>
  <c r="BB55" i="13"/>
  <c r="BF55" i="13"/>
  <c r="BG55" i="13" s="1"/>
  <c r="AN57" i="12"/>
  <c r="AV57" i="12"/>
  <c r="AU57" i="12"/>
  <c r="AQ57" i="12"/>
  <c r="AP57" i="12"/>
  <c r="AP56" i="14" l="1"/>
  <c r="AR56" i="14" s="1"/>
  <c r="AS56" i="14" s="1"/>
  <c r="AT56" i="14" s="1"/>
  <c r="AZ56" i="14" s="1"/>
  <c r="AQ56" i="14"/>
  <c r="AV56" i="14"/>
  <c r="AW56" i="14" s="1"/>
  <c r="AX56" i="14"/>
  <c r="BA56" i="14" s="1"/>
  <c r="BE55" i="13"/>
  <c r="C56" i="13"/>
  <c r="AW57" i="12"/>
  <c r="AR57" i="12"/>
  <c r="AS57" i="12" s="1"/>
  <c r="AT57" i="12" s="1"/>
  <c r="AZ57" i="12" s="1"/>
  <c r="AX57" i="12"/>
  <c r="BA57" i="12" s="1"/>
  <c r="AY56" i="14" l="1"/>
  <c r="BB56" i="14" s="1"/>
  <c r="E56" i="13"/>
  <c r="D56" i="13"/>
  <c r="AY57" i="12"/>
  <c r="BF56" i="14" l="1"/>
  <c r="BG56" i="14" s="1"/>
  <c r="BE56" i="14"/>
  <c r="C57" i="14"/>
  <c r="F56" i="13"/>
  <c r="BF57" i="12"/>
  <c r="BG57" i="12" s="1"/>
  <c r="BB57" i="12"/>
  <c r="E57" i="14" l="1"/>
  <c r="D57" i="14"/>
  <c r="J56" i="13"/>
  <c r="G56" i="13"/>
  <c r="H56" i="13" s="1"/>
  <c r="I56" i="13" s="1"/>
  <c r="C58" i="12"/>
  <c r="BE57" i="12"/>
  <c r="F57" i="14" l="1"/>
  <c r="N56" i="13"/>
  <c r="K56" i="13"/>
  <c r="L56" i="13" s="1"/>
  <c r="M56" i="13" s="1"/>
  <c r="BD56" i="13"/>
  <c r="E58" i="12"/>
  <c r="D58" i="12"/>
  <c r="J57" i="14" l="1"/>
  <c r="G57" i="14"/>
  <c r="H57" i="14" s="1"/>
  <c r="I57" i="14" s="1"/>
  <c r="U56" i="13"/>
  <c r="T56" i="13"/>
  <c r="V56" i="13" s="1"/>
  <c r="O56" i="13"/>
  <c r="P56" i="13"/>
  <c r="F58" i="12"/>
  <c r="K57" i="14" l="1"/>
  <c r="L57" i="14" s="1"/>
  <c r="M57" i="14" s="1"/>
  <c r="BD57" i="14"/>
  <c r="N57" i="14"/>
  <c r="Q56" i="13"/>
  <c r="R56" i="13" s="1"/>
  <c r="S56" i="13" s="1"/>
  <c r="W56" i="13"/>
  <c r="J58" i="12"/>
  <c r="G58" i="12"/>
  <c r="H58" i="12" s="1"/>
  <c r="I58" i="12" s="1"/>
  <c r="U57" i="14" l="1"/>
  <c r="T57" i="14"/>
  <c r="O57" i="14"/>
  <c r="P57" i="14"/>
  <c r="AD56" i="13"/>
  <c r="AC56" i="13"/>
  <c r="AE56" i="13" s="1"/>
  <c r="X56" i="13"/>
  <c r="Y56" i="13"/>
  <c r="K58" i="12"/>
  <c r="L58" i="12" s="1"/>
  <c r="M58" i="12" s="1"/>
  <c r="BD58" i="12"/>
  <c r="N58" i="12"/>
  <c r="Q57" i="14" l="1"/>
  <c r="R57" i="14" s="1"/>
  <c r="S57" i="14" s="1"/>
  <c r="X57" i="14" s="1"/>
  <c r="W57" i="14"/>
  <c r="AC57" i="14"/>
  <c r="AD57" i="14"/>
  <c r="Y57" i="14"/>
  <c r="V57" i="14"/>
  <c r="AF56" i="13"/>
  <c r="Z56" i="13"/>
  <c r="AA56" i="13" s="1"/>
  <c r="AB56" i="13" s="1"/>
  <c r="T58" i="12"/>
  <c r="U58" i="12"/>
  <c r="O58" i="12"/>
  <c r="P58" i="12"/>
  <c r="AF57" i="14" l="1"/>
  <c r="AM57" i="14" s="1"/>
  <c r="AE57" i="14"/>
  <c r="Z57" i="14"/>
  <c r="AA57" i="14" s="1"/>
  <c r="AB57" i="14" s="1"/>
  <c r="AM56" i="13"/>
  <c r="AL56" i="13"/>
  <c r="AN56" i="13" s="1"/>
  <c r="AG56" i="13"/>
  <c r="AH56" i="13"/>
  <c r="W58" i="12"/>
  <c r="AC58" i="12" s="1"/>
  <c r="Q58" i="12"/>
  <c r="R58" i="12" s="1"/>
  <c r="S58" i="12" s="1"/>
  <c r="V58" i="12"/>
  <c r="AD58" i="12" l="1"/>
  <c r="AL57" i="14"/>
  <c r="AN57" i="14" s="1"/>
  <c r="AO57" i="14"/>
  <c r="AG57" i="14"/>
  <c r="AH57" i="14"/>
  <c r="AO56" i="13"/>
  <c r="AI56" i="13"/>
  <c r="AJ56" i="13" s="1"/>
  <c r="AK56" i="13" s="1"/>
  <c r="AV56" i="13"/>
  <c r="AU56" i="13"/>
  <c r="AE58" i="12"/>
  <c r="AF58" i="12"/>
  <c r="X58" i="12"/>
  <c r="Y58" i="12"/>
  <c r="AI57" i="14" l="1"/>
  <c r="AJ57" i="14" s="1"/>
  <c r="AK57" i="14" s="1"/>
  <c r="AU57" i="14"/>
  <c r="AV57" i="14"/>
  <c r="AX57" i="14" s="1"/>
  <c r="BA57" i="14" s="1"/>
  <c r="AX56" i="13"/>
  <c r="BA56" i="13" s="1"/>
  <c r="AP56" i="13"/>
  <c r="AQ56" i="13"/>
  <c r="AW56" i="13"/>
  <c r="AL58" i="12"/>
  <c r="AM58" i="12"/>
  <c r="Z58" i="12"/>
  <c r="AA58" i="12" s="1"/>
  <c r="AB58" i="12" s="1"/>
  <c r="AQ57" i="14" l="1"/>
  <c r="AP57" i="14"/>
  <c r="AR57" i="14" s="1"/>
  <c r="AS57" i="14" s="1"/>
  <c r="AT57" i="14" s="1"/>
  <c r="AZ57" i="14" s="1"/>
  <c r="AW57" i="14"/>
  <c r="AY57" i="14" s="1"/>
  <c r="AR56" i="13"/>
  <c r="AS56" i="13" s="1"/>
  <c r="AT56" i="13" s="1"/>
  <c r="AZ56" i="13" s="1"/>
  <c r="AY56" i="13"/>
  <c r="AO58" i="12"/>
  <c r="AU58" i="12" s="1"/>
  <c r="AH58" i="12"/>
  <c r="AG58" i="12"/>
  <c r="AN58" i="12"/>
  <c r="BB57" i="14" l="1"/>
  <c r="BF57" i="14"/>
  <c r="BG57" i="14" s="1"/>
  <c r="BB56" i="13"/>
  <c r="BF56" i="13"/>
  <c r="BG56" i="13" s="1"/>
  <c r="AI58" i="12"/>
  <c r="AJ58" i="12" s="1"/>
  <c r="AK58" i="12" s="1"/>
  <c r="AQ58" i="12" s="1"/>
  <c r="AV58" i="12"/>
  <c r="AX58" i="12" s="1"/>
  <c r="BA58" i="12" s="1"/>
  <c r="AP58" i="12" l="1"/>
  <c r="AR58" i="12" s="1"/>
  <c r="AS58" i="12" s="1"/>
  <c r="AT58" i="12" s="1"/>
  <c r="AZ58" i="12" s="1"/>
  <c r="BE57" i="14"/>
  <c r="C58" i="14"/>
  <c r="BE56" i="13"/>
  <c r="C57" i="13"/>
  <c r="AW58" i="12"/>
  <c r="AY58" i="12" l="1"/>
  <c r="BF58" i="12" s="1"/>
  <c r="BG58" i="12" s="1"/>
  <c r="E58" i="14"/>
  <c r="D58" i="14"/>
  <c r="D57" i="13"/>
  <c r="E57" i="13"/>
  <c r="F57" i="13" s="1"/>
  <c r="BB58" i="12" l="1"/>
  <c r="C59" i="12" s="1"/>
  <c r="F58" i="14"/>
  <c r="J57" i="13"/>
  <c r="G57" i="13"/>
  <c r="H57" i="13" s="1"/>
  <c r="I57" i="13" s="1"/>
  <c r="BE58" i="12"/>
  <c r="E59" i="12"/>
  <c r="D59" i="12"/>
  <c r="J58" i="14" l="1"/>
  <c r="G58" i="14"/>
  <c r="H58" i="14" s="1"/>
  <c r="I58" i="14" s="1"/>
  <c r="N57" i="13"/>
  <c r="BD57" i="13"/>
  <c r="K57" i="13"/>
  <c r="L57" i="13" s="1"/>
  <c r="M57" i="13" s="1"/>
  <c r="F59" i="12"/>
  <c r="K58" i="14" l="1"/>
  <c r="L58" i="14" s="1"/>
  <c r="M58" i="14" s="1"/>
  <c r="BD58" i="14"/>
  <c r="N58" i="14"/>
  <c r="T57" i="13"/>
  <c r="U57" i="13"/>
  <c r="W57" i="13" s="1"/>
  <c r="P57" i="13"/>
  <c r="O57" i="13"/>
  <c r="G59" i="12"/>
  <c r="H59" i="12" s="1"/>
  <c r="I59" i="12" s="1"/>
  <c r="J59" i="12"/>
  <c r="P58" i="14" l="1"/>
  <c r="O58" i="14"/>
  <c r="Q58" i="14" s="1"/>
  <c r="R58" i="14" s="1"/>
  <c r="S58" i="14" s="1"/>
  <c r="U58" i="14"/>
  <c r="T58" i="14"/>
  <c r="Q57" i="13"/>
  <c r="R57" i="13" s="1"/>
  <c r="S57" i="13" s="1"/>
  <c r="Y57" i="13"/>
  <c r="X57" i="13"/>
  <c r="Z57" i="13" s="1"/>
  <c r="AA57" i="13" s="1"/>
  <c r="AB57" i="13" s="1"/>
  <c r="AC57" i="13"/>
  <c r="AD57" i="13"/>
  <c r="AF57" i="13" s="1"/>
  <c r="V57" i="13"/>
  <c r="N59" i="12"/>
  <c r="K59" i="12"/>
  <c r="L59" i="12" s="1"/>
  <c r="M59" i="12" s="1"/>
  <c r="BD59" i="12"/>
  <c r="W58" i="14" l="1"/>
  <c r="AD58" i="14"/>
  <c r="AC58" i="14"/>
  <c r="AE58" i="14" s="1"/>
  <c r="V58" i="14"/>
  <c r="Y58" i="14"/>
  <c r="X58" i="14"/>
  <c r="Z58" i="14" s="1"/>
  <c r="AA58" i="14" s="1"/>
  <c r="AB58" i="14" s="1"/>
  <c r="AM57" i="13"/>
  <c r="AL57" i="13"/>
  <c r="AN57" i="13" s="1"/>
  <c r="AH57" i="13"/>
  <c r="AG57" i="13"/>
  <c r="AI57" i="13" s="1"/>
  <c r="AJ57" i="13" s="1"/>
  <c r="AK57" i="13" s="1"/>
  <c r="AE57" i="13"/>
  <c r="P59" i="12"/>
  <c r="O59" i="12"/>
  <c r="U59" i="12"/>
  <c r="T59" i="12"/>
  <c r="AH58" i="14" l="1"/>
  <c r="AG58" i="14"/>
  <c r="AI58" i="14" s="1"/>
  <c r="AJ58" i="14" s="1"/>
  <c r="AK58" i="14" s="1"/>
  <c r="AF58" i="14"/>
  <c r="AQ57" i="13"/>
  <c r="AP57" i="13"/>
  <c r="AR57" i="13" s="1"/>
  <c r="AS57" i="13" s="1"/>
  <c r="AT57" i="13" s="1"/>
  <c r="AZ57" i="13" s="1"/>
  <c r="AO57" i="13"/>
  <c r="V59" i="12"/>
  <c r="W59" i="12"/>
  <c r="AD59" i="12" s="1"/>
  <c r="Q59" i="12"/>
  <c r="R59" i="12" s="1"/>
  <c r="S59" i="12" s="1"/>
  <c r="Y59" i="12" s="1"/>
  <c r="AM58" i="14" l="1"/>
  <c r="AL58" i="14"/>
  <c r="AN58" i="14" s="1"/>
  <c r="AQ58" i="14"/>
  <c r="AP58" i="14"/>
  <c r="AV57" i="13"/>
  <c r="AU57" i="13"/>
  <c r="AW57" i="13" s="1"/>
  <c r="AY57" i="13" s="1"/>
  <c r="X59" i="12"/>
  <c r="Z59" i="12" s="1"/>
  <c r="AA59" i="12" s="1"/>
  <c r="AB59" i="12" s="1"/>
  <c r="AC59" i="12"/>
  <c r="AE59" i="12" s="1"/>
  <c r="AR58" i="14" l="1"/>
  <c r="AS58" i="14" s="1"/>
  <c r="AT58" i="14" s="1"/>
  <c r="AZ58" i="14" s="1"/>
  <c r="AO58" i="14"/>
  <c r="AV58" i="14"/>
  <c r="AU58" i="14"/>
  <c r="BF57" i="13"/>
  <c r="BG57" i="13" s="1"/>
  <c r="AX57" i="13"/>
  <c r="BA57" i="13" s="1"/>
  <c r="BB57" i="13" s="1"/>
  <c r="AF59" i="12"/>
  <c r="AL59" i="12" s="1"/>
  <c r="AH59" i="12"/>
  <c r="AG59" i="12"/>
  <c r="AW58" i="14" l="1"/>
  <c r="AY58" i="14" s="1"/>
  <c r="BF58" i="14"/>
  <c r="BG58" i="14" s="1"/>
  <c r="AX58" i="14"/>
  <c r="BA58" i="14" s="1"/>
  <c r="BB58" i="14" s="1"/>
  <c r="C58" i="13"/>
  <c r="BE57" i="13"/>
  <c r="AM59" i="12"/>
  <c r="AN59" i="12" s="1"/>
  <c r="AI59" i="12"/>
  <c r="AJ59" i="12" s="1"/>
  <c r="AK59" i="12" s="1"/>
  <c r="AP59" i="12" s="1"/>
  <c r="AO59" i="12" l="1"/>
  <c r="AU59" i="12" s="1"/>
  <c r="C59" i="14"/>
  <c r="BE58" i="14"/>
  <c r="E58" i="13"/>
  <c r="D58" i="13"/>
  <c r="AQ59" i="12"/>
  <c r="AR59" i="12" s="1"/>
  <c r="AS59" i="12" s="1"/>
  <c r="AT59" i="12" s="1"/>
  <c r="AZ59" i="12" s="1"/>
  <c r="AV59" i="12"/>
  <c r="E59" i="14" l="1"/>
  <c r="D59" i="14"/>
  <c r="F58" i="13"/>
  <c r="J58" i="13"/>
  <c r="G58" i="13"/>
  <c r="H58" i="13" s="1"/>
  <c r="I58" i="13" s="1"/>
  <c r="AW59" i="12"/>
  <c r="AY59" i="12" s="1"/>
  <c r="BF59" i="12" s="1"/>
  <c r="BG59" i="12" s="1"/>
  <c r="AX59" i="12"/>
  <c r="BA59" i="12" s="1"/>
  <c r="F59" i="14" l="1"/>
  <c r="N58" i="13"/>
  <c r="K58" i="13"/>
  <c r="L58" i="13" s="1"/>
  <c r="M58" i="13" s="1"/>
  <c r="BD58" i="13"/>
  <c r="BB59" i="12"/>
  <c r="BE59" i="12" s="1"/>
  <c r="C60" i="12" l="1"/>
  <c r="D60" i="12" s="1"/>
  <c r="J59" i="14"/>
  <c r="G59" i="14"/>
  <c r="H59" i="14" s="1"/>
  <c r="I59" i="14" s="1"/>
  <c r="U58" i="13"/>
  <c r="T58" i="13"/>
  <c r="O58" i="13"/>
  <c r="P58" i="13"/>
  <c r="E60" i="12"/>
  <c r="BD59" i="14" l="1"/>
  <c r="K59" i="14"/>
  <c r="L59" i="14" s="1"/>
  <c r="M59" i="14" s="1"/>
  <c r="N59" i="14"/>
  <c r="W58" i="13"/>
  <c r="AD58" i="13"/>
  <c r="AC58" i="13"/>
  <c r="AE58" i="13" s="1"/>
  <c r="Q58" i="13"/>
  <c r="R58" i="13" s="1"/>
  <c r="S58" i="13" s="1"/>
  <c r="V58" i="13"/>
  <c r="F60" i="12"/>
  <c r="J60" i="12" s="1"/>
  <c r="G60" i="12"/>
  <c r="H60" i="12" s="1"/>
  <c r="I60" i="12" s="1"/>
  <c r="U59" i="14" l="1"/>
  <c r="T59" i="14"/>
  <c r="V59" i="14" s="1"/>
  <c r="O59" i="14"/>
  <c r="P59" i="14"/>
  <c r="Y58" i="13"/>
  <c r="X58" i="13"/>
  <c r="Z58" i="13" s="1"/>
  <c r="AA58" i="13" s="1"/>
  <c r="AB58" i="13" s="1"/>
  <c r="AF58" i="13"/>
  <c r="K60" i="12"/>
  <c r="L60" i="12" s="1"/>
  <c r="M60" i="12" s="1"/>
  <c r="BD60" i="12"/>
  <c r="N60" i="12"/>
  <c r="Q59" i="14" l="1"/>
  <c r="R59" i="14" s="1"/>
  <c r="S59" i="14" s="1"/>
  <c r="X59" i="14"/>
  <c r="Y59" i="14"/>
  <c r="W59" i="14"/>
  <c r="AM58" i="13"/>
  <c r="AL58" i="13"/>
  <c r="AN58" i="13" s="1"/>
  <c r="AG58" i="13"/>
  <c r="AH58" i="13"/>
  <c r="U60" i="12"/>
  <c r="T60" i="12"/>
  <c r="O60" i="12"/>
  <c r="P60" i="12"/>
  <c r="AD59" i="14" l="1"/>
  <c r="AC59" i="14"/>
  <c r="AE59" i="14" s="1"/>
  <c r="Z59" i="14"/>
  <c r="AA59" i="14" s="1"/>
  <c r="AB59" i="14" s="1"/>
  <c r="AI58" i="13"/>
  <c r="AJ58" i="13" s="1"/>
  <c r="AK58" i="13" s="1"/>
  <c r="AO58" i="13"/>
  <c r="AQ58" i="13"/>
  <c r="AP58" i="13"/>
  <c r="AR58" i="13" s="1"/>
  <c r="AS58" i="13" s="1"/>
  <c r="AT58" i="13" s="1"/>
  <c r="AZ58" i="13" s="1"/>
  <c r="AV58" i="13"/>
  <c r="AU58" i="13"/>
  <c r="W60" i="12"/>
  <c r="AD60" i="12" s="1"/>
  <c r="V60" i="12"/>
  <c r="Q60" i="12"/>
  <c r="R60" i="12" s="1"/>
  <c r="S60" i="12" s="1"/>
  <c r="AH59" i="14" l="1"/>
  <c r="AG59" i="14"/>
  <c r="AI59" i="14" s="1"/>
  <c r="AJ59" i="14" s="1"/>
  <c r="AK59" i="14" s="1"/>
  <c r="AF59" i="14"/>
  <c r="AW58" i="13"/>
  <c r="AY58" i="13" s="1"/>
  <c r="BF58" i="13"/>
  <c r="BG58" i="13" s="1"/>
  <c r="AX58" i="13"/>
  <c r="BA58" i="13" s="1"/>
  <c r="BB58" i="13" s="1"/>
  <c r="AC60" i="12"/>
  <c r="AE60" i="12" s="1"/>
  <c r="Y60" i="12"/>
  <c r="X60" i="12"/>
  <c r="AM59" i="14" l="1"/>
  <c r="AL59" i="14"/>
  <c r="AN59" i="14" s="1"/>
  <c r="AP59" i="14"/>
  <c r="AQ59" i="14"/>
  <c r="BE58" i="13"/>
  <c r="C59" i="13"/>
  <c r="AF60" i="12"/>
  <c r="AL60" i="12" s="1"/>
  <c r="Z60" i="12"/>
  <c r="AA60" i="12" s="1"/>
  <c r="AB60" i="12" s="1"/>
  <c r="AH60" i="12" s="1"/>
  <c r="AR59" i="14" l="1"/>
  <c r="AS59" i="14" s="1"/>
  <c r="AT59" i="14" s="1"/>
  <c r="AZ59" i="14" s="1"/>
  <c r="AO59" i="14"/>
  <c r="E59" i="13"/>
  <c r="D59" i="13"/>
  <c r="AM60" i="12"/>
  <c r="AO60" i="12" s="1"/>
  <c r="AV60" i="12" s="1"/>
  <c r="AG60" i="12"/>
  <c r="AI60" i="12" s="1"/>
  <c r="AJ60" i="12" s="1"/>
  <c r="AK60" i="12" s="1"/>
  <c r="AQ60" i="12" s="1"/>
  <c r="AN60" i="12" l="1"/>
  <c r="AV59" i="14"/>
  <c r="AU59" i="14"/>
  <c r="F59" i="13"/>
  <c r="J59" i="13"/>
  <c r="G59" i="13"/>
  <c r="H59" i="13" s="1"/>
  <c r="I59" i="13" s="1"/>
  <c r="AU60" i="12"/>
  <c r="AP60" i="12"/>
  <c r="AR60" i="12" s="1"/>
  <c r="AS60" i="12" s="1"/>
  <c r="AT60" i="12" s="1"/>
  <c r="AZ60" i="12" s="1"/>
  <c r="AX60" i="12"/>
  <c r="BA60" i="12" s="1"/>
  <c r="AW60" i="12"/>
  <c r="AW59" i="14" l="1"/>
  <c r="AY59" i="14" s="1"/>
  <c r="BF59" i="14" s="1"/>
  <c r="BG59" i="14" s="1"/>
  <c r="AX59" i="14"/>
  <c r="BA59" i="14" s="1"/>
  <c r="BB59" i="14" s="1"/>
  <c r="K59" i="13"/>
  <c r="L59" i="13" s="1"/>
  <c r="M59" i="13" s="1"/>
  <c r="BD59" i="13"/>
  <c r="N59" i="13"/>
  <c r="AY60" i="12"/>
  <c r="BB60" i="12" s="1"/>
  <c r="BE59" i="14" l="1"/>
  <c r="C60" i="14"/>
  <c r="P59" i="13"/>
  <c r="O59" i="13"/>
  <c r="Q59" i="13" s="1"/>
  <c r="R59" i="13" s="1"/>
  <c r="S59" i="13" s="1"/>
  <c r="U59" i="13"/>
  <c r="T59" i="13"/>
  <c r="V59" i="13" s="1"/>
  <c r="BF60" i="12"/>
  <c r="BG60" i="12" s="1"/>
  <c r="C61" i="12"/>
  <c r="BE60" i="12"/>
  <c r="E60" i="14" l="1"/>
  <c r="D60" i="14"/>
  <c r="Y59" i="13"/>
  <c r="X59" i="13"/>
  <c r="W59" i="13"/>
  <c r="E61" i="12"/>
  <c r="D61" i="12"/>
  <c r="F60" i="14" l="1"/>
  <c r="J60" i="14"/>
  <c r="G60" i="14"/>
  <c r="H60" i="14" s="1"/>
  <c r="I60" i="14" s="1"/>
  <c r="AC59" i="13"/>
  <c r="AD59" i="13"/>
  <c r="Z59" i="13"/>
  <c r="AA59" i="13" s="1"/>
  <c r="AB59" i="13" s="1"/>
  <c r="F61" i="12"/>
  <c r="BD60" i="14" l="1"/>
  <c r="K60" i="14"/>
  <c r="L60" i="14" s="1"/>
  <c r="M60" i="14" s="1"/>
  <c r="N60" i="14"/>
  <c r="AE59" i="13"/>
  <c r="AG59" i="13"/>
  <c r="AH59" i="13"/>
  <c r="AF59" i="13"/>
  <c r="J61" i="12"/>
  <c r="G61" i="12"/>
  <c r="H61" i="12" s="1"/>
  <c r="I61" i="12" s="1"/>
  <c r="T60" i="14" l="1"/>
  <c r="U60" i="14"/>
  <c r="W60" i="14" s="1"/>
  <c r="P60" i="14"/>
  <c r="O60" i="14"/>
  <c r="AM59" i="13"/>
  <c r="AL59" i="13"/>
  <c r="AI59" i="13"/>
  <c r="AJ59" i="13" s="1"/>
  <c r="AK59" i="13" s="1"/>
  <c r="BD61" i="12"/>
  <c r="K61" i="12"/>
  <c r="L61" i="12" s="1"/>
  <c r="M61" i="12" s="1"/>
  <c r="N61" i="12"/>
  <c r="Q60" i="14" l="1"/>
  <c r="R60" i="14" s="1"/>
  <c r="S60" i="14" s="1"/>
  <c r="Y60" i="14" s="1"/>
  <c r="AD60" i="14"/>
  <c r="AC60" i="14"/>
  <c r="AE60" i="14" s="1"/>
  <c r="V60" i="14"/>
  <c r="AO59" i="13"/>
  <c r="AU59" i="13"/>
  <c r="AV59" i="13"/>
  <c r="AX59" i="13" s="1"/>
  <c r="BA59" i="13" s="1"/>
  <c r="AQ59" i="13"/>
  <c r="AP59" i="13"/>
  <c r="AN59" i="13"/>
  <c r="T61" i="12"/>
  <c r="U61" i="12"/>
  <c r="O61" i="12"/>
  <c r="P61" i="12"/>
  <c r="X60" i="14" l="1"/>
  <c r="Z60" i="14" s="1"/>
  <c r="AA60" i="14" s="1"/>
  <c r="AB60" i="14" s="1"/>
  <c r="AF60" i="14"/>
  <c r="AH60" i="14"/>
  <c r="AG60" i="14"/>
  <c r="AI60" i="14" s="1"/>
  <c r="AJ60" i="14" s="1"/>
  <c r="AK60" i="14" s="1"/>
  <c r="AR59" i="13"/>
  <c r="AS59" i="13" s="1"/>
  <c r="AT59" i="13" s="1"/>
  <c r="AZ59" i="13" s="1"/>
  <c r="AW59" i="13"/>
  <c r="AY59" i="13" s="1"/>
  <c r="W61" i="12"/>
  <c r="AC61" i="12" s="1"/>
  <c r="Q61" i="12"/>
  <c r="R61" i="12" s="1"/>
  <c r="S61" i="12" s="1"/>
  <c r="V61" i="12"/>
  <c r="AQ60" i="14" l="1"/>
  <c r="AP60" i="14"/>
  <c r="AR60" i="14" s="1"/>
  <c r="AS60" i="14" s="1"/>
  <c r="AT60" i="14" s="1"/>
  <c r="AZ60" i="14" s="1"/>
  <c r="AL60" i="14"/>
  <c r="AM60" i="14"/>
  <c r="AO60" i="14" s="1"/>
  <c r="BB59" i="13"/>
  <c r="BF59" i="13"/>
  <c r="BG59" i="13" s="1"/>
  <c r="AD61" i="12"/>
  <c r="AF61" i="12" s="1"/>
  <c r="AM61" i="12" s="1"/>
  <c r="Y61" i="12"/>
  <c r="X61" i="12"/>
  <c r="AE61" i="12"/>
  <c r="AV60" i="14" l="1"/>
  <c r="AU60" i="14"/>
  <c r="AW60" i="14" s="1"/>
  <c r="AN60" i="14"/>
  <c r="C60" i="13"/>
  <c r="BE59" i="13"/>
  <c r="AL61" i="12"/>
  <c r="AO61" i="12" s="1"/>
  <c r="Z61" i="12"/>
  <c r="AA61" i="12" s="1"/>
  <c r="AB61" i="12" s="1"/>
  <c r="AH61" i="12" s="1"/>
  <c r="AY60" i="14" l="1"/>
  <c r="AX60" i="14"/>
  <c r="BA60" i="14" s="1"/>
  <c r="E60" i="13"/>
  <c r="D60" i="13"/>
  <c r="AN61" i="12"/>
  <c r="AG61" i="12"/>
  <c r="AI61" i="12" s="1"/>
  <c r="AJ61" i="12" s="1"/>
  <c r="AK61" i="12" s="1"/>
  <c r="AQ61" i="12" s="1"/>
  <c r="AU61" i="12"/>
  <c r="AV61" i="12"/>
  <c r="BB60" i="14" l="1"/>
  <c r="BF60" i="14"/>
  <c r="BG60" i="14" s="1"/>
  <c r="F60" i="13"/>
  <c r="AP61" i="12"/>
  <c r="AR61" i="12" s="1"/>
  <c r="AS61" i="12" s="1"/>
  <c r="AT61" i="12" s="1"/>
  <c r="AZ61" i="12" s="1"/>
  <c r="AW61" i="12"/>
  <c r="AX61" i="12"/>
  <c r="BA61" i="12" s="1"/>
  <c r="BE60" i="14" l="1"/>
  <c r="C61" i="14"/>
  <c r="J60" i="13"/>
  <c r="G60" i="13"/>
  <c r="H60" i="13" s="1"/>
  <c r="I60" i="13" s="1"/>
  <c r="AY61" i="12"/>
  <c r="E61" i="14" l="1"/>
  <c r="D61" i="14"/>
  <c r="K60" i="13"/>
  <c r="L60" i="13" s="1"/>
  <c r="M60" i="13" s="1"/>
  <c r="BD60" i="13"/>
  <c r="N60" i="13"/>
  <c r="BF61" i="12"/>
  <c r="BG61" i="12" s="1"/>
  <c r="BB61" i="12"/>
  <c r="F61" i="14" l="1"/>
  <c r="U60" i="13"/>
  <c r="T60" i="13"/>
  <c r="V60" i="13" s="1"/>
  <c r="O60" i="13"/>
  <c r="P60" i="13"/>
  <c r="BE61" i="12"/>
  <c r="C62" i="12"/>
  <c r="J61" i="14" l="1"/>
  <c r="G61" i="14"/>
  <c r="H61" i="14" s="1"/>
  <c r="I61" i="14" s="1"/>
  <c r="Q60" i="13"/>
  <c r="R60" i="13" s="1"/>
  <c r="S60" i="13" s="1"/>
  <c r="W60" i="13"/>
  <c r="D62" i="12"/>
  <c r="E62" i="12"/>
  <c r="K61" i="14" l="1"/>
  <c r="L61" i="14" s="1"/>
  <c r="M61" i="14" s="1"/>
  <c r="BD61" i="14"/>
  <c r="N61" i="14"/>
  <c r="AD60" i="13"/>
  <c r="AC60" i="13"/>
  <c r="Y60" i="13"/>
  <c r="X60" i="13"/>
  <c r="Z60" i="13" s="1"/>
  <c r="AA60" i="13" s="1"/>
  <c r="AB60" i="13" s="1"/>
  <c r="F62" i="12"/>
  <c r="P61" i="14" l="1"/>
  <c r="O61" i="14"/>
  <c r="Q61" i="14" s="1"/>
  <c r="R61" i="14" s="1"/>
  <c r="S61" i="14" s="1"/>
  <c r="U61" i="14"/>
  <c r="T61" i="14"/>
  <c r="AE60" i="13"/>
  <c r="AG60" i="13"/>
  <c r="AI60" i="13" s="1"/>
  <c r="AJ60" i="13" s="1"/>
  <c r="AK60" i="13" s="1"/>
  <c r="AH60" i="13"/>
  <c r="AF60" i="13"/>
  <c r="J62" i="12"/>
  <c r="G62" i="12"/>
  <c r="H62" i="12" s="1"/>
  <c r="I62" i="12" s="1"/>
  <c r="V61" i="14" l="1"/>
  <c r="Y61" i="14"/>
  <c r="X61" i="14"/>
  <c r="Z61" i="14" s="1"/>
  <c r="AA61" i="14" s="1"/>
  <c r="AB61" i="14" s="1"/>
  <c r="W61" i="14"/>
  <c r="AQ60" i="13"/>
  <c r="AP60" i="13"/>
  <c r="AM60" i="13"/>
  <c r="AL60" i="13"/>
  <c r="AN60" i="13" s="1"/>
  <c r="BD62" i="12"/>
  <c r="K62" i="12"/>
  <c r="L62" i="12" s="1"/>
  <c r="M62" i="12" s="1"/>
  <c r="N62" i="12"/>
  <c r="AC61" i="14" l="1"/>
  <c r="AD61" i="14"/>
  <c r="AF61" i="14" s="1"/>
  <c r="AH61" i="14"/>
  <c r="AG61" i="14"/>
  <c r="AI61" i="14" s="1"/>
  <c r="AJ61" i="14" s="1"/>
  <c r="AK61" i="14" s="1"/>
  <c r="AO60" i="13"/>
  <c r="AR60" i="13"/>
  <c r="AS60" i="13" s="1"/>
  <c r="AT60" i="13" s="1"/>
  <c r="AZ60" i="13" s="1"/>
  <c r="U62" i="12"/>
  <c r="T62" i="12"/>
  <c r="O62" i="12"/>
  <c r="P62" i="12"/>
  <c r="AP61" i="14" l="1"/>
  <c r="AQ61" i="14"/>
  <c r="AM61" i="14"/>
  <c r="AL61" i="14"/>
  <c r="AN61" i="14" s="1"/>
  <c r="AE61" i="14"/>
  <c r="AV60" i="13"/>
  <c r="AU60" i="13"/>
  <c r="AW60" i="13" s="1"/>
  <c r="AY60" i="13" s="1"/>
  <c r="W62" i="12"/>
  <c r="AC62" i="12" s="1"/>
  <c r="Q62" i="12"/>
  <c r="R62" i="12" s="1"/>
  <c r="S62" i="12" s="1"/>
  <c r="V62" i="12"/>
  <c r="AO61" i="14" l="1"/>
  <c r="AR61" i="14"/>
  <c r="AS61" i="14" s="1"/>
  <c r="AT61" i="14" s="1"/>
  <c r="AZ61" i="14" s="1"/>
  <c r="BF60" i="13"/>
  <c r="BG60" i="13" s="1"/>
  <c r="AX60" i="13"/>
  <c r="BA60" i="13" s="1"/>
  <c r="BB60" i="13" s="1"/>
  <c r="AD62" i="12"/>
  <c r="AE62" i="12" s="1"/>
  <c r="X62" i="12"/>
  <c r="Y62" i="12"/>
  <c r="AF62" i="12" l="1"/>
  <c r="AM62" i="12" s="1"/>
  <c r="AV61" i="14"/>
  <c r="AU61" i="14"/>
  <c r="AW61" i="14" s="1"/>
  <c r="AY61" i="14" s="1"/>
  <c r="BE60" i="13"/>
  <c r="C61" i="13"/>
  <c r="Z62" i="12"/>
  <c r="AA62" i="12" s="1"/>
  <c r="AB62" i="12" s="1"/>
  <c r="AL62" i="12" l="1"/>
  <c r="AO62" i="12" s="1"/>
  <c r="AV62" i="12" s="1"/>
  <c r="BF61" i="14"/>
  <c r="BG61" i="14" s="1"/>
  <c r="AX61" i="14"/>
  <c r="BA61" i="14" s="1"/>
  <c r="BB61" i="14" s="1"/>
  <c r="E61" i="13"/>
  <c r="D61" i="13"/>
  <c r="AH62" i="12"/>
  <c r="AG62" i="12"/>
  <c r="AU62" i="12" l="1"/>
  <c r="AW62" i="12" s="1"/>
  <c r="AN62" i="12"/>
  <c r="BE61" i="14"/>
  <c r="C62" i="14"/>
  <c r="F61" i="13"/>
  <c r="J61" i="13"/>
  <c r="G61" i="13"/>
  <c r="H61" i="13" s="1"/>
  <c r="I61" i="13" s="1"/>
  <c r="AX62" i="12"/>
  <c r="BA62" i="12" s="1"/>
  <c r="AI62" i="12"/>
  <c r="AJ62" i="12" s="1"/>
  <c r="AK62" i="12" s="1"/>
  <c r="AQ62" i="12" s="1"/>
  <c r="E62" i="14" l="1"/>
  <c r="D62" i="14"/>
  <c r="N61" i="13"/>
  <c r="K61" i="13"/>
  <c r="L61" i="13" s="1"/>
  <c r="M61" i="13" s="1"/>
  <c r="BD61" i="13"/>
  <c r="AP62" i="12"/>
  <c r="AR62" i="12" s="1"/>
  <c r="F62" i="14" l="1"/>
  <c r="O61" i="13"/>
  <c r="P61" i="13"/>
  <c r="U61" i="13"/>
  <c r="T61" i="13"/>
  <c r="V61" i="13" s="1"/>
  <c r="AS62" i="12"/>
  <c r="AT62" i="12" s="1"/>
  <c r="AZ62" i="12" s="1"/>
  <c r="AY62" i="12"/>
  <c r="BB62" i="12" l="1"/>
  <c r="J62" i="14"/>
  <c r="G62" i="14"/>
  <c r="H62" i="14" s="1"/>
  <c r="I62" i="14" s="1"/>
  <c r="Q61" i="13"/>
  <c r="R61" i="13" s="1"/>
  <c r="S61" i="13" s="1"/>
  <c r="X61" i="13"/>
  <c r="Y61" i="13"/>
  <c r="W61" i="13"/>
  <c r="BF62" i="12"/>
  <c r="BG62" i="12" s="1"/>
  <c r="BE62" i="12"/>
  <c r="C63" i="12"/>
  <c r="BD62" i="14" l="1"/>
  <c r="K62" i="14"/>
  <c r="L62" i="14" s="1"/>
  <c r="M62" i="14" s="1"/>
  <c r="N62" i="14"/>
  <c r="AC61" i="13"/>
  <c r="AD61" i="13"/>
  <c r="AF61" i="13" s="1"/>
  <c r="Z61" i="13"/>
  <c r="AA61" i="13" s="1"/>
  <c r="AB61" i="13" s="1"/>
  <c r="D63" i="12"/>
  <c r="E63" i="12"/>
  <c r="T62" i="14" l="1"/>
  <c r="U62" i="14"/>
  <c r="W62" i="14" s="1"/>
  <c r="P62" i="14"/>
  <c r="O62" i="14"/>
  <c r="Q62" i="14" s="1"/>
  <c r="R62" i="14" s="1"/>
  <c r="S62" i="14" s="1"/>
  <c r="AH61" i="13"/>
  <c r="AG61" i="13"/>
  <c r="AI61" i="13" s="1"/>
  <c r="AJ61" i="13" s="1"/>
  <c r="AK61" i="13" s="1"/>
  <c r="AL61" i="13"/>
  <c r="AM61" i="13"/>
  <c r="AE61" i="13"/>
  <c r="F63" i="12"/>
  <c r="J63" i="12" s="1"/>
  <c r="AD62" i="14" l="1"/>
  <c r="AC62" i="14"/>
  <c r="AE62" i="14" s="1"/>
  <c r="Y62" i="14"/>
  <c r="X62" i="14"/>
  <c r="V62" i="14"/>
  <c r="AN61" i="13"/>
  <c r="AO61" i="13"/>
  <c r="AQ61" i="13"/>
  <c r="AP61" i="13"/>
  <c r="AR61" i="13" s="1"/>
  <c r="AS61" i="13" s="1"/>
  <c r="AT61" i="13" s="1"/>
  <c r="AZ61" i="13" s="1"/>
  <c r="G63" i="12"/>
  <c r="H63" i="12" s="1"/>
  <c r="I63" i="12" s="1"/>
  <c r="K63" i="12" s="1"/>
  <c r="L63" i="12" s="1"/>
  <c r="M63" i="12" s="1"/>
  <c r="Z62" i="14" l="1"/>
  <c r="AA62" i="14" s="1"/>
  <c r="AB62" i="14" s="1"/>
  <c r="AH62" i="14"/>
  <c r="AG62" i="14"/>
  <c r="AI62" i="14" s="1"/>
  <c r="AJ62" i="14" s="1"/>
  <c r="AK62" i="14" s="1"/>
  <c r="AF62" i="14"/>
  <c r="AV61" i="13"/>
  <c r="AU61" i="13"/>
  <c r="AW61" i="13" s="1"/>
  <c r="AY61" i="13" s="1"/>
  <c r="N63" i="12"/>
  <c r="U63" i="12" s="1"/>
  <c r="BD63" i="12"/>
  <c r="O63" i="12"/>
  <c r="P63" i="12"/>
  <c r="AL62" i="14" l="1"/>
  <c r="AM62" i="14"/>
  <c r="AO62" i="14" s="1"/>
  <c r="AQ62" i="14"/>
  <c r="AP62" i="14"/>
  <c r="AR62" i="14" s="1"/>
  <c r="AS62" i="14" s="1"/>
  <c r="AT62" i="14" s="1"/>
  <c r="AZ62" i="14" s="1"/>
  <c r="BF61" i="13"/>
  <c r="BG61" i="13" s="1"/>
  <c r="AX61" i="13"/>
  <c r="BA61" i="13" s="1"/>
  <c r="BB61" i="13" s="1"/>
  <c r="T63" i="12"/>
  <c r="V63" i="12" s="1"/>
  <c r="Q63" i="12"/>
  <c r="R63" i="12" s="1"/>
  <c r="S63" i="12" s="1"/>
  <c r="AV62" i="14" l="1"/>
  <c r="AU62" i="14"/>
  <c r="AW62" i="14" s="1"/>
  <c r="AN62" i="14"/>
  <c r="BE61" i="13"/>
  <c r="C62" i="13"/>
  <c r="W63" i="12"/>
  <c r="AD63" i="12" s="1"/>
  <c r="X63" i="12"/>
  <c r="Y63" i="12"/>
  <c r="AY62" i="14" l="1"/>
  <c r="AX62" i="14"/>
  <c r="BA62" i="14" s="1"/>
  <c r="E62" i="13"/>
  <c r="D62" i="13"/>
  <c r="AC63" i="12"/>
  <c r="AF63" i="12" s="1"/>
  <c r="AM63" i="12" s="1"/>
  <c r="Z63" i="12"/>
  <c r="AA63" i="12" s="1"/>
  <c r="AB63" i="12" s="1"/>
  <c r="BB62" i="14" l="1"/>
  <c r="BF62" i="14"/>
  <c r="BG62" i="14" s="1"/>
  <c r="F62" i="13"/>
  <c r="AE63" i="12"/>
  <c r="AL63" i="12"/>
  <c r="AN63" i="12" s="1"/>
  <c r="AH63" i="12"/>
  <c r="AG63" i="12"/>
  <c r="AO63" i="12" l="1"/>
  <c r="AU63" i="12" s="1"/>
  <c r="C63" i="14"/>
  <c r="BE62" i="14"/>
  <c r="J62" i="13"/>
  <c r="G62" i="13"/>
  <c r="H62" i="13" s="1"/>
  <c r="I62" i="13" s="1"/>
  <c r="AI63" i="12"/>
  <c r="AJ63" i="12" s="1"/>
  <c r="AK63" i="12" s="1"/>
  <c r="AP63" i="12" s="1"/>
  <c r="AV63" i="12"/>
  <c r="D63" i="14" l="1"/>
  <c r="E63" i="14"/>
  <c r="F63" i="14" s="1"/>
  <c r="BD62" i="13"/>
  <c r="K62" i="13"/>
  <c r="L62" i="13" s="1"/>
  <c r="M62" i="13" s="1"/>
  <c r="N62" i="13"/>
  <c r="AQ63" i="12"/>
  <c r="AR63" i="12" s="1"/>
  <c r="AS63" i="12" s="1"/>
  <c r="AT63" i="12" s="1"/>
  <c r="AZ63" i="12" s="1"/>
  <c r="AW63" i="12"/>
  <c r="AX63" i="12"/>
  <c r="BA63" i="12" s="1"/>
  <c r="J63" i="14" l="1"/>
  <c r="G63" i="14"/>
  <c r="H63" i="14" s="1"/>
  <c r="I63" i="14" s="1"/>
  <c r="P62" i="13"/>
  <c r="O62" i="13"/>
  <c r="Q62" i="13" s="1"/>
  <c r="R62" i="13" s="1"/>
  <c r="S62" i="13" s="1"/>
  <c r="U62" i="13"/>
  <c r="T62" i="13"/>
  <c r="V62" i="13" s="1"/>
  <c r="AY63" i="12"/>
  <c r="BF63" i="12" s="1"/>
  <c r="BG63" i="12" s="1"/>
  <c r="BD63" i="14" l="1"/>
  <c r="K63" i="14"/>
  <c r="L63" i="14" s="1"/>
  <c r="M63" i="14" s="1"/>
  <c r="N63" i="14"/>
  <c r="W62" i="13"/>
  <c r="X62" i="13"/>
  <c r="Y62" i="13"/>
  <c r="BB63" i="12"/>
  <c r="U63" i="14" l="1"/>
  <c r="T63" i="14"/>
  <c r="P63" i="14"/>
  <c r="O63" i="14"/>
  <c r="Q63" i="14" s="1"/>
  <c r="R63" i="14" s="1"/>
  <c r="S63" i="14" s="1"/>
  <c r="Z62" i="13"/>
  <c r="AA62" i="13" s="1"/>
  <c r="AB62" i="13" s="1"/>
  <c r="AD62" i="13"/>
  <c r="AC62" i="13"/>
  <c r="AE62" i="13" s="1"/>
  <c r="C64" i="12"/>
  <c r="BE63" i="12"/>
  <c r="V63" i="14" l="1"/>
  <c r="X63" i="14"/>
  <c r="Y63" i="14"/>
  <c r="W63" i="14"/>
  <c r="AF62" i="13"/>
  <c r="AL62" i="13"/>
  <c r="AM62" i="13"/>
  <c r="AO62" i="13" s="1"/>
  <c r="AH62" i="13"/>
  <c r="AG62" i="13"/>
  <c r="E64" i="12"/>
  <c r="D64" i="12"/>
  <c r="AD63" i="14" l="1"/>
  <c r="AC63" i="14"/>
  <c r="AE63" i="14" s="1"/>
  <c r="Z63" i="14"/>
  <c r="AA63" i="14" s="1"/>
  <c r="AB63" i="14" s="1"/>
  <c r="AI62" i="13"/>
  <c r="AJ62" i="13" s="1"/>
  <c r="AK62" i="13" s="1"/>
  <c r="AV62" i="13"/>
  <c r="AU62" i="13"/>
  <c r="AP62" i="13"/>
  <c r="AQ62" i="13"/>
  <c r="AN62" i="13"/>
  <c r="F64" i="12"/>
  <c r="AH63" i="14" l="1"/>
  <c r="AG63" i="14"/>
  <c r="AI63" i="14" s="1"/>
  <c r="AJ63" i="14" s="1"/>
  <c r="AK63" i="14" s="1"/>
  <c r="AF63" i="14"/>
  <c r="AW62" i="13"/>
  <c r="AR62" i="13"/>
  <c r="AS62" i="13" s="1"/>
  <c r="AT62" i="13" s="1"/>
  <c r="AZ62" i="13" s="1"/>
  <c r="AY62" i="13"/>
  <c r="AX62" i="13"/>
  <c r="BA62" i="13" s="1"/>
  <c r="G64" i="12"/>
  <c r="H64" i="12" s="1"/>
  <c r="I64" i="12" s="1"/>
  <c r="J64" i="12"/>
  <c r="AP63" i="14" l="1"/>
  <c r="AQ63" i="14"/>
  <c r="AM63" i="14"/>
  <c r="AL63" i="14"/>
  <c r="AN63" i="14" s="1"/>
  <c r="BB62" i="13"/>
  <c r="BF62" i="13"/>
  <c r="BG62" i="13" s="1"/>
  <c r="N64" i="12"/>
  <c r="K64" i="12"/>
  <c r="L64" i="12" s="1"/>
  <c r="M64" i="12" s="1"/>
  <c r="BD64" i="12"/>
  <c r="AO63" i="14" l="1"/>
  <c r="AR63" i="14"/>
  <c r="AS63" i="14" s="1"/>
  <c r="AT63" i="14" s="1"/>
  <c r="AZ63" i="14" s="1"/>
  <c r="BE62" i="13"/>
  <c r="C63" i="13"/>
  <c r="O64" i="12"/>
  <c r="P64" i="12"/>
  <c r="T64" i="12"/>
  <c r="U64" i="12"/>
  <c r="AV63" i="14" l="1"/>
  <c r="AU63" i="14"/>
  <c r="AW63" i="14" s="1"/>
  <c r="AY63" i="14" s="1"/>
  <c r="E63" i="13"/>
  <c r="D63" i="13"/>
  <c r="W64" i="12"/>
  <c r="AC64" i="12" s="1"/>
  <c r="Q64" i="12"/>
  <c r="R64" i="12" s="1"/>
  <c r="S64" i="12" s="1"/>
  <c r="Y64" i="12" s="1"/>
  <c r="V64" i="12"/>
  <c r="BF63" i="14" l="1"/>
  <c r="BG63" i="14" s="1"/>
  <c r="AX63" i="14"/>
  <c r="BA63" i="14" s="1"/>
  <c r="BB63" i="14" s="1"/>
  <c r="F63" i="13"/>
  <c r="AD64" i="12"/>
  <c r="AF64" i="12" s="1"/>
  <c r="AM64" i="12" s="1"/>
  <c r="X64" i="12"/>
  <c r="Z64" i="12" s="1"/>
  <c r="AA64" i="12" s="1"/>
  <c r="AB64" i="12" s="1"/>
  <c r="AH64" i="12" s="1"/>
  <c r="AE64" i="12"/>
  <c r="BE63" i="14" l="1"/>
  <c r="C64" i="14"/>
  <c r="J63" i="13"/>
  <c r="G63" i="13"/>
  <c r="H63" i="13" s="1"/>
  <c r="I63" i="13" s="1"/>
  <c r="AL64" i="12"/>
  <c r="AO64" i="12" s="1"/>
  <c r="AG64" i="12"/>
  <c r="AI64" i="12" s="1"/>
  <c r="AJ64" i="12" s="1"/>
  <c r="AK64" i="12" s="1"/>
  <c r="E64" i="14" l="1"/>
  <c r="D64" i="14"/>
  <c r="BD63" i="13"/>
  <c r="K63" i="13"/>
  <c r="L63" i="13" s="1"/>
  <c r="M63" i="13" s="1"/>
  <c r="N63" i="13"/>
  <c r="AN64" i="12"/>
  <c r="AQ64" i="12"/>
  <c r="AP64" i="12"/>
  <c r="AV64" i="12"/>
  <c r="AU64" i="12"/>
  <c r="F64" i="14" l="1"/>
  <c r="T63" i="13"/>
  <c r="U63" i="13"/>
  <c r="W63" i="13" s="1"/>
  <c r="O63" i="13"/>
  <c r="Q63" i="13" s="1"/>
  <c r="R63" i="13" s="1"/>
  <c r="S63" i="13" s="1"/>
  <c r="P63" i="13"/>
  <c r="AR64" i="12"/>
  <c r="AS64" i="12" s="1"/>
  <c r="AT64" i="12" s="1"/>
  <c r="AZ64" i="12" s="1"/>
  <c r="AW64" i="12"/>
  <c r="AX64" i="12"/>
  <c r="BA64" i="12" s="1"/>
  <c r="J64" i="14" l="1"/>
  <c r="G64" i="14"/>
  <c r="H64" i="14" s="1"/>
  <c r="I64" i="14" s="1"/>
  <c r="V63" i="13"/>
  <c r="X63" i="13"/>
  <c r="Y63" i="13"/>
  <c r="AC63" i="13"/>
  <c r="AD63" i="13"/>
  <c r="AF63" i="13" s="1"/>
  <c r="AY64" i="12"/>
  <c r="BF64" i="12" s="1"/>
  <c r="BG64" i="12" s="1"/>
  <c r="BD64" i="14" l="1"/>
  <c r="K64" i="14"/>
  <c r="L64" i="14" s="1"/>
  <c r="M64" i="14" s="1"/>
  <c r="N64" i="14"/>
  <c r="AL63" i="13"/>
  <c r="AM63" i="13"/>
  <c r="AO63" i="13" s="1"/>
  <c r="AE63" i="13"/>
  <c r="Z63" i="13"/>
  <c r="AA63" i="13" s="1"/>
  <c r="AB63" i="13" s="1"/>
  <c r="BB64" i="12"/>
  <c r="BE64" i="12" s="1"/>
  <c r="T64" i="14" l="1"/>
  <c r="U64" i="14"/>
  <c r="W64" i="14" s="1"/>
  <c r="O64" i="14"/>
  <c r="P64" i="14"/>
  <c r="AH63" i="13"/>
  <c r="AG63" i="13"/>
  <c r="AI63" i="13" s="1"/>
  <c r="AJ63" i="13" s="1"/>
  <c r="AK63" i="13" s="1"/>
  <c r="AV63" i="13"/>
  <c r="AU63" i="13"/>
  <c r="AW63" i="13" s="1"/>
  <c r="AN63" i="13"/>
  <c r="C65" i="12"/>
  <c r="Q64" i="14" l="1"/>
  <c r="R64" i="14" s="1"/>
  <c r="S64" i="14" s="1"/>
  <c r="X64" i="14"/>
  <c r="Y64" i="14"/>
  <c r="AD64" i="14"/>
  <c r="AC64" i="14"/>
  <c r="AE64" i="14" s="1"/>
  <c r="V64" i="14"/>
  <c r="AX63" i="13"/>
  <c r="BA63" i="13" s="1"/>
  <c r="AQ63" i="13"/>
  <c r="AP63" i="13"/>
  <c r="AR63" i="13" s="1"/>
  <c r="AS63" i="13" s="1"/>
  <c r="AT63" i="13" s="1"/>
  <c r="AZ63" i="13" s="1"/>
  <c r="D65" i="12"/>
  <c r="E65" i="12"/>
  <c r="F65" i="12" s="1"/>
  <c r="J65" i="12" s="1"/>
  <c r="G65" i="12" l="1"/>
  <c r="H65" i="12" s="1"/>
  <c r="I65" i="12" s="1"/>
  <c r="N65" i="12" s="1"/>
  <c r="T65" i="12" s="1"/>
  <c r="Z64" i="14"/>
  <c r="AA64" i="14" s="1"/>
  <c r="AB64" i="14" s="1"/>
  <c r="AF64" i="14"/>
  <c r="AY63" i="13"/>
  <c r="K65" i="12"/>
  <c r="L65" i="12" s="1"/>
  <c r="M65" i="12" s="1"/>
  <c r="P65" i="12" s="1"/>
  <c r="BD65" i="12" l="1"/>
  <c r="U65" i="12"/>
  <c r="AL64" i="14"/>
  <c r="AM64" i="14"/>
  <c r="AO64" i="14" s="1"/>
  <c r="AH64" i="14"/>
  <c r="AG64" i="14"/>
  <c r="AI64" i="14" s="1"/>
  <c r="AJ64" i="14" s="1"/>
  <c r="AK64" i="14" s="1"/>
  <c r="BB63" i="13"/>
  <c r="BF63" i="13"/>
  <c r="BG63" i="13" s="1"/>
  <c r="O65" i="12"/>
  <c r="Q65" i="12" s="1"/>
  <c r="R65" i="12" s="1"/>
  <c r="S65" i="12" s="1"/>
  <c r="X65" i="12" s="1"/>
  <c r="V65" i="12"/>
  <c r="W65" i="12"/>
  <c r="AN64" i="14" l="1"/>
  <c r="AP64" i="14"/>
  <c r="AQ64" i="14"/>
  <c r="AV64" i="14"/>
  <c r="AU64" i="14"/>
  <c r="C64" i="13"/>
  <c r="BE63" i="13"/>
  <c r="Y65" i="12"/>
  <c r="Z65" i="12" s="1"/>
  <c r="AA65" i="12" s="1"/>
  <c r="AB65" i="12" s="1"/>
  <c r="AH65" i="12" s="1"/>
  <c r="AC65" i="12"/>
  <c r="AD65" i="12"/>
  <c r="AW64" i="14" l="1"/>
  <c r="AR64" i="14"/>
  <c r="AS64" i="14" s="1"/>
  <c r="AT64" i="14" s="1"/>
  <c r="AZ64" i="14" s="1"/>
  <c r="AY64" i="14"/>
  <c r="AX64" i="14"/>
  <c r="BA64" i="14" s="1"/>
  <c r="D64" i="13"/>
  <c r="E64" i="13"/>
  <c r="F64" i="13" s="1"/>
  <c r="AG65" i="12"/>
  <c r="AI65" i="12" s="1"/>
  <c r="AJ65" i="12" s="1"/>
  <c r="AK65" i="12" s="1"/>
  <c r="AP65" i="12" s="1"/>
  <c r="AF65" i="12"/>
  <c r="AL65" i="12" s="1"/>
  <c r="AE65" i="12"/>
  <c r="BB64" i="14" l="1"/>
  <c r="BF64" i="14"/>
  <c r="BG64" i="14" s="1"/>
  <c r="J64" i="13"/>
  <c r="G64" i="13"/>
  <c r="H64" i="13" s="1"/>
  <c r="I64" i="13" s="1"/>
  <c r="AM65" i="12"/>
  <c r="AO65" i="12" s="1"/>
  <c r="AV65" i="12" s="1"/>
  <c r="AQ65" i="12"/>
  <c r="AR65" i="12" s="1"/>
  <c r="AS65" i="12" s="1"/>
  <c r="AT65" i="12" s="1"/>
  <c r="AZ65" i="12" s="1"/>
  <c r="AN65" i="12" l="1"/>
  <c r="C65" i="14"/>
  <c r="BE64" i="14"/>
  <c r="BD64" i="13"/>
  <c r="K64" i="13"/>
  <c r="L64" i="13" s="1"/>
  <c r="M64" i="13" s="1"/>
  <c r="N64" i="13"/>
  <c r="AU65" i="12"/>
  <c r="AX65" i="12" s="1"/>
  <c r="BA65" i="12" s="1"/>
  <c r="D65" i="14" l="1"/>
  <c r="E65" i="14"/>
  <c r="P64" i="13"/>
  <c r="O64" i="13"/>
  <c r="Q64" i="13" s="1"/>
  <c r="R64" i="13" s="1"/>
  <c r="S64" i="13" s="1"/>
  <c r="T64" i="13"/>
  <c r="U64" i="13"/>
  <c r="W64" i="13" s="1"/>
  <c r="AW65" i="12"/>
  <c r="AY65" i="12" s="1"/>
  <c r="BF65" i="12" s="1"/>
  <c r="BG65" i="12" s="1"/>
  <c r="F65" i="14" l="1"/>
  <c r="J65" i="14"/>
  <c r="G65" i="14"/>
  <c r="H65" i="14" s="1"/>
  <c r="I65" i="14" s="1"/>
  <c r="AD64" i="13"/>
  <c r="AC64" i="13"/>
  <c r="V64" i="13"/>
  <c r="Y64" i="13"/>
  <c r="X64" i="13"/>
  <c r="BB65" i="12"/>
  <c r="C66" i="12" s="1"/>
  <c r="E66" i="12" s="1"/>
  <c r="N65" i="14" l="1"/>
  <c r="BD65" i="14"/>
  <c r="K65" i="14"/>
  <c r="L65" i="14" s="1"/>
  <c r="M65" i="14" s="1"/>
  <c r="AF64" i="13"/>
  <c r="Z64" i="13"/>
  <c r="AA64" i="13" s="1"/>
  <c r="AB64" i="13" s="1"/>
  <c r="AE64" i="13"/>
  <c r="AL64" i="13"/>
  <c r="AM64" i="13"/>
  <c r="AO64" i="13" s="1"/>
  <c r="D66" i="12"/>
  <c r="F66" i="12" s="1"/>
  <c r="BE65" i="12"/>
  <c r="T65" i="14" l="1"/>
  <c r="U65" i="14"/>
  <c r="W65" i="14" s="1"/>
  <c r="P65" i="14"/>
  <c r="O65" i="14"/>
  <c r="Q65" i="14" s="1"/>
  <c r="R65" i="14" s="1"/>
  <c r="S65" i="14" s="1"/>
  <c r="AN64" i="13"/>
  <c r="AV64" i="13"/>
  <c r="AU64" i="13"/>
  <c r="AW64" i="13" s="1"/>
  <c r="AG64" i="13"/>
  <c r="AH64" i="13"/>
  <c r="G66" i="12"/>
  <c r="H66" i="12" s="1"/>
  <c r="I66" i="12" s="1"/>
  <c r="J66" i="12"/>
  <c r="AD65" i="14" l="1"/>
  <c r="AC65" i="14"/>
  <c r="AE65" i="14" s="1"/>
  <c r="Y65" i="14"/>
  <c r="X65" i="14"/>
  <c r="Z65" i="14" s="1"/>
  <c r="AA65" i="14" s="1"/>
  <c r="AB65" i="14" s="1"/>
  <c r="V65" i="14"/>
  <c r="AI64" i="13"/>
  <c r="AJ64" i="13" s="1"/>
  <c r="AK64" i="13" s="1"/>
  <c r="AQ64" i="13"/>
  <c r="AP64" i="13"/>
  <c r="AR64" i="13" s="1"/>
  <c r="AS64" i="13" s="1"/>
  <c r="AT64" i="13" s="1"/>
  <c r="AZ64" i="13" s="1"/>
  <c r="AY64" i="13"/>
  <c r="AX64" i="13"/>
  <c r="BA64" i="13" s="1"/>
  <c r="N66" i="12"/>
  <c r="BD66" i="12"/>
  <c r="K66" i="12"/>
  <c r="L66" i="12" s="1"/>
  <c r="M66" i="12" s="1"/>
  <c r="AH65" i="14" l="1"/>
  <c r="AG65" i="14"/>
  <c r="AF65" i="14"/>
  <c r="BB64" i="13"/>
  <c r="BF64" i="13"/>
  <c r="BG64" i="13" s="1"/>
  <c r="O66" i="12"/>
  <c r="P66" i="12"/>
  <c r="U66" i="12"/>
  <c r="T66" i="12"/>
  <c r="AI65" i="14" l="1"/>
  <c r="AJ65" i="14" s="1"/>
  <c r="AK65" i="14" s="1"/>
  <c r="AL65" i="14"/>
  <c r="AM65" i="14"/>
  <c r="AO65" i="14" s="1"/>
  <c r="AQ65" i="14"/>
  <c r="AP65" i="14"/>
  <c r="AR65" i="14" s="1"/>
  <c r="AS65" i="14" s="1"/>
  <c r="AT65" i="14" s="1"/>
  <c r="AZ65" i="14" s="1"/>
  <c r="C65" i="13"/>
  <c r="BE64" i="13"/>
  <c r="W66" i="12"/>
  <c r="AD66" i="12" s="1"/>
  <c r="V66" i="12"/>
  <c r="Q66" i="12"/>
  <c r="R66" i="12" s="1"/>
  <c r="S66" i="12" s="1"/>
  <c r="AV65" i="14" l="1"/>
  <c r="AU65" i="14"/>
  <c r="AN65" i="14"/>
  <c r="D65" i="13"/>
  <c r="E65" i="13"/>
  <c r="F65" i="13" s="1"/>
  <c r="AC66" i="12"/>
  <c r="AE66" i="12" s="1"/>
  <c r="X66" i="12"/>
  <c r="Y66" i="12"/>
  <c r="AF66" i="12" l="1"/>
  <c r="AM66" i="12" s="1"/>
  <c r="AW65" i="14"/>
  <c r="AY65" i="14"/>
  <c r="AX65" i="14"/>
  <c r="BA65" i="14" s="1"/>
  <c r="J65" i="13"/>
  <c r="G65" i="13"/>
  <c r="H65" i="13" s="1"/>
  <c r="I65" i="13" s="1"/>
  <c r="Z66" i="12"/>
  <c r="AA66" i="12" s="1"/>
  <c r="AB66" i="12" s="1"/>
  <c r="AG66" i="12" s="1"/>
  <c r="AL66" i="12" l="1"/>
  <c r="AO66" i="12" s="1"/>
  <c r="BB65" i="14"/>
  <c r="BF65" i="14"/>
  <c r="BG65" i="14" s="1"/>
  <c r="K65" i="13"/>
  <c r="L65" i="13" s="1"/>
  <c r="M65" i="13" s="1"/>
  <c r="BD65" i="13"/>
  <c r="N65" i="13"/>
  <c r="AH66" i="12"/>
  <c r="AI66" i="12" s="1"/>
  <c r="AJ66" i="12" s="1"/>
  <c r="AK66" i="12" s="1"/>
  <c r="AQ66" i="12" s="1"/>
  <c r="AN66" i="12" l="1"/>
  <c r="C66" i="14"/>
  <c r="BE65" i="14"/>
  <c r="U65" i="13"/>
  <c r="T65" i="13"/>
  <c r="V65" i="13" s="1"/>
  <c r="O65" i="13"/>
  <c r="P65" i="13"/>
  <c r="AP66" i="12"/>
  <c r="AR66" i="12" s="1"/>
  <c r="AS66" i="12" s="1"/>
  <c r="AT66" i="12" s="1"/>
  <c r="AZ66" i="12" s="1"/>
  <c r="AV66" i="12"/>
  <c r="AU66" i="12"/>
  <c r="D66" i="14" l="1"/>
  <c r="E66" i="14"/>
  <c r="F66" i="14" s="1"/>
  <c r="Q65" i="13"/>
  <c r="R65" i="13" s="1"/>
  <c r="S65" i="13" s="1"/>
  <c r="W65" i="13"/>
  <c r="AW66" i="12"/>
  <c r="AY66" i="12" s="1"/>
  <c r="BF66" i="12" s="1"/>
  <c r="BG66" i="12" s="1"/>
  <c r="AX66" i="12"/>
  <c r="BA66" i="12" s="1"/>
  <c r="J66" i="14" l="1"/>
  <c r="G66" i="14"/>
  <c r="H66" i="14" s="1"/>
  <c r="I66" i="14" s="1"/>
  <c r="AD65" i="13"/>
  <c r="AC65" i="13"/>
  <c r="AE65" i="13" s="1"/>
  <c r="X65" i="13"/>
  <c r="Y65" i="13"/>
  <c r="BB66" i="12"/>
  <c r="C67" i="12" s="1"/>
  <c r="BD66" i="14" l="1"/>
  <c r="K66" i="14"/>
  <c r="L66" i="14" s="1"/>
  <c r="M66" i="14" s="1"/>
  <c r="N66" i="14"/>
  <c r="Z65" i="13"/>
  <c r="AA65" i="13" s="1"/>
  <c r="AB65" i="13" s="1"/>
  <c r="AF65" i="13"/>
  <c r="BE66" i="12"/>
  <c r="E67" i="12"/>
  <c r="D67" i="12"/>
  <c r="U66" i="14" l="1"/>
  <c r="T66" i="14"/>
  <c r="V66" i="14" s="1"/>
  <c r="P66" i="14"/>
  <c r="O66" i="14"/>
  <c r="AM65" i="13"/>
  <c r="AL65" i="13"/>
  <c r="AN65" i="13" s="1"/>
  <c r="AG65" i="13"/>
  <c r="AH65" i="13"/>
  <c r="F67" i="12"/>
  <c r="Q66" i="14" l="1"/>
  <c r="R66" i="14" s="1"/>
  <c r="S66" i="14" s="1"/>
  <c r="W66" i="14"/>
  <c r="AI65" i="13"/>
  <c r="AJ65" i="13" s="1"/>
  <c r="AK65" i="13" s="1"/>
  <c r="AO65" i="13"/>
  <c r="G67" i="12"/>
  <c r="H67" i="12" s="1"/>
  <c r="I67" i="12" s="1"/>
  <c r="J67" i="12"/>
  <c r="AD66" i="14" l="1"/>
  <c r="AC66" i="14"/>
  <c r="AE66" i="14" s="1"/>
  <c r="X66" i="14"/>
  <c r="Y66" i="14"/>
  <c r="AP65" i="13"/>
  <c r="AQ65" i="13"/>
  <c r="AV65" i="13"/>
  <c r="AU65" i="13"/>
  <c r="AW65" i="13" s="1"/>
  <c r="N67" i="12"/>
  <c r="BD67" i="12"/>
  <c r="K67" i="12"/>
  <c r="L67" i="12" s="1"/>
  <c r="M67" i="12" s="1"/>
  <c r="Z66" i="14" l="1"/>
  <c r="AA66" i="14" s="1"/>
  <c r="AB66" i="14" s="1"/>
  <c r="AF66" i="14"/>
  <c r="AX65" i="13"/>
  <c r="BA65" i="13" s="1"/>
  <c r="AR65" i="13"/>
  <c r="AS65" i="13" s="1"/>
  <c r="AT65" i="13" s="1"/>
  <c r="AZ65" i="13" s="1"/>
  <c r="P67" i="12"/>
  <c r="O67" i="12"/>
  <c r="T67" i="12"/>
  <c r="U67" i="12"/>
  <c r="AM66" i="14" l="1"/>
  <c r="AL66" i="14"/>
  <c r="AN66" i="14" s="1"/>
  <c r="AH66" i="14"/>
  <c r="AG66" i="14"/>
  <c r="AI66" i="14" s="1"/>
  <c r="AJ66" i="14" s="1"/>
  <c r="AK66" i="14" s="1"/>
  <c r="AY65" i="13"/>
  <c r="Q67" i="12"/>
  <c r="R67" i="12" s="1"/>
  <c r="S67" i="12" s="1"/>
  <c r="X67" i="12" s="1"/>
  <c r="V67" i="12"/>
  <c r="W67" i="12"/>
  <c r="AP66" i="14" l="1"/>
  <c r="AQ66" i="14"/>
  <c r="AO66" i="14"/>
  <c r="BB65" i="13"/>
  <c r="BF65" i="13"/>
  <c r="BG65" i="13" s="1"/>
  <c r="Y67" i="12"/>
  <c r="Z67" i="12" s="1"/>
  <c r="AA67" i="12" s="1"/>
  <c r="AB67" i="12" s="1"/>
  <c r="AD67" i="12"/>
  <c r="AC67" i="12"/>
  <c r="AV66" i="14" l="1"/>
  <c r="AU66" i="14"/>
  <c r="AW66" i="14" s="1"/>
  <c r="AR66" i="14"/>
  <c r="AS66" i="14" s="1"/>
  <c r="AT66" i="14" s="1"/>
  <c r="AZ66" i="14" s="1"/>
  <c r="BE65" i="13"/>
  <c r="C66" i="13"/>
  <c r="AG67" i="12"/>
  <c r="AH67" i="12"/>
  <c r="AF67" i="12"/>
  <c r="AE67" i="12"/>
  <c r="AY66" i="14" l="1"/>
  <c r="BF66" i="14" s="1"/>
  <c r="BG66" i="14" s="1"/>
  <c r="AX66" i="14"/>
  <c r="BA66" i="14" s="1"/>
  <c r="BB66" i="14" s="1"/>
  <c r="E66" i="13"/>
  <c r="F66" i="13" s="1"/>
  <c r="D66" i="13"/>
  <c r="AM67" i="12"/>
  <c r="AL67" i="12"/>
  <c r="AI67" i="12"/>
  <c r="AJ67" i="12" s="1"/>
  <c r="AK67" i="12" s="1"/>
  <c r="BE66" i="14" l="1"/>
  <c r="C67" i="14"/>
  <c r="J66" i="13"/>
  <c r="G66" i="13"/>
  <c r="H66" i="13" s="1"/>
  <c r="I66" i="13" s="1"/>
  <c r="AP67" i="12"/>
  <c r="AQ67" i="12"/>
  <c r="AO67" i="12"/>
  <c r="AN67" i="12"/>
  <c r="E67" i="14" l="1"/>
  <c r="D67" i="14"/>
  <c r="N66" i="13"/>
  <c r="K66" i="13"/>
  <c r="L66" i="13" s="1"/>
  <c r="M66" i="13" s="1"/>
  <c r="BD66" i="13"/>
  <c r="AR67" i="12"/>
  <c r="AS67" i="12" s="1"/>
  <c r="AT67" i="12" s="1"/>
  <c r="AZ67" i="12" s="1"/>
  <c r="AV67" i="12"/>
  <c r="AU67" i="12"/>
  <c r="F67" i="14" l="1"/>
  <c r="T66" i="13"/>
  <c r="U66" i="13"/>
  <c r="W66" i="13" s="1"/>
  <c r="O66" i="13"/>
  <c r="P66" i="13"/>
  <c r="AW67" i="12"/>
  <c r="AY67" i="12" s="1"/>
  <c r="BF67" i="12" s="1"/>
  <c r="BG67" i="12" s="1"/>
  <c r="AX67" i="12"/>
  <c r="BA67" i="12" s="1"/>
  <c r="J67" i="14" l="1"/>
  <c r="G67" i="14"/>
  <c r="H67" i="14" s="1"/>
  <c r="I67" i="14" s="1"/>
  <c r="V66" i="13"/>
  <c r="Q66" i="13"/>
  <c r="R66" i="13" s="1"/>
  <c r="S66" i="13" s="1"/>
  <c r="AC66" i="13"/>
  <c r="AD66" i="13"/>
  <c r="AF66" i="13" s="1"/>
  <c r="BB67" i="12"/>
  <c r="C68" i="12" s="1"/>
  <c r="K67" i="14" l="1"/>
  <c r="L67" i="14" s="1"/>
  <c r="M67" i="14" s="1"/>
  <c r="BD67" i="14"/>
  <c r="N67" i="14"/>
  <c r="AL66" i="13"/>
  <c r="AM66" i="13"/>
  <c r="AO66" i="13" s="1"/>
  <c r="AE66" i="13"/>
  <c r="X66" i="13"/>
  <c r="Y66" i="13"/>
  <c r="BE67" i="12"/>
  <c r="E68" i="12"/>
  <c r="D68" i="12"/>
  <c r="T67" i="14" l="1"/>
  <c r="U67" i="14"/>
  <c r="W67" i="14" s="1"/>
  <c r="P67" i="14"/>
  <c r="O67" i="14"/>
  <c r="Q67" i="14" s="1"/>
  <c r="R67" i="14" s="1"/>
  <c r="S67" i="14" s="1"/>
  <c r="Z66" i="13"/>
  <c r="AA66" i="13" s="1"/>
  <c r="AB66" i="13" s="1"/>
  <c r="AU66" i="13"/>
  <c r="AV66" i="13"/>
  <c r="AN66" i="13"/>
  <c r="F68" i="12"/>
  <c r="J68" i="12" s="1"/>
  <c r="X67" i="14" l="1"/>
  <c r="Y67" i="14"/>
  <c r="AD67" i="14"/>
  <c r="AC67" i="14"/>
  <c r="AE67" i="14" s="1"/>
  <c r="V67" i="14"/>
  <c r="AW66" i="13"/>
  <c r="AH66" i="13"/>
  <c r="AG66" i="13"/>
  <c r="AI66" i="13" s="1"/>
  <c r="AJ66" i="13" s="1"/>
  <c r="AK66" i="13" s="1"/>
  <c r="AX66" i="13"/>
  <c r="BA66" i="13" s="1"/>
  <c r="G68" i="12"/>
  <c r="H68" i="12" s="1"/>
  <c r="I68" i="12" s="1"/>
  <c r="K68" i="12" s="1"/>
  <c r="L68" i="12" s="1"/>
  <c r="M68" i="12" s="1"/>
  <c r="AF67" i="14" l="1"/>
  <c r="Z67" i="14"/>
  <c r="AA67" i="14" s="1"/>
  <c r="AB67" i="14" s="1"/>
  <c r="AP66" i="13"/>
  <c r="AQ66" i="13"/>
  <c r="N68" i="12"/>
  <c r="U68" i="12" s="1"/>
  <c r="BD68" i="12"/>
  <c r="P68" i="12"/>
  <c r="O68" i="12"/>
  <c r="AG67" i="14" l="1"/>
  <c r="AH67" i="14"/>
  <c r="AL67" i="14"/>
  <c r="AM67" i="14"/>
  <c r="AR66" i="13"/>
  <c r="AS66" i="13"/>
  <c r="AT66" i="13" s="1"/>
  <c r="AZ66" i="13" s="1"/>
  <c r="AY66" i="13"/>
  <c r="T68" i="12"/>
  <c r="V68" i="12" s="1"/>
  <c r="Q68" i="12"/>
  <c r="R68" i="12" s="1"/>
  <c r="S68" i="12" s="1"/>
  <c r="X68" i="12" s="1"/>
  <c r="AO67" i="14" l="1"/>
  <c r="AV67" i="14"/>
  <c r="AU67" i="14"/>
  <c r="AW67" i="14" s="1"/>
  <c r="AN67" i="14"/>
  <c r="AI67" i="14"/>
  <c r="AJ67" i="14" s="1"/>
  <c r="AK67" i="14" s="1"/>
  <c r="BB66" i="13"/>
  <c r="BF66" i="13"/>
  <c r="BG66" i="13" s="1"/>
  <c r="W68" i="12"/>
  <c r="AC68" i="12" s="1"/>
  <c r="Y68" i="12"/>
  <c r="Z68" i="12" s="1"/>
  <c r="AA68" i="12" s="1"/>
  <c r="AB68" i="12" s="1"/>
  <c r="AP67" i="14" l="1"/>
  <c r="AQ67" i="14"/>
  <c r="AX67" i="14"/>
  <c r="BA67" i="14" s="1"/>
  <c r="C67" i="13"/>
  <c r="BE66" i="13"/>
  <c r="AD68" i="12"/>
  <c r="AE68" i="12" s="1"/>
  <c r="AG68" i="12"/>
  <c r="AH68" i="12"/>
  <c r="AR67" i="14" l="1"/>
  <c r="D67" i="13"/>
  <c r="E67" i="13"/>
  <c r="F67" i="13" s="1"/>
  <c r="AF68" i="12"/>
  <c r="AM68" i="12" s="1"/>
  <c r="AI68" i="12"/>
  <c r="AJ68" i="12" s="1"/>
  <c r="AK68" i="12" s="1"/>
  <c r="AP68" i="12" s="1"/>
  <c r="AS67" i="14" l="1"/>
  <c r="AT67" i="14" s="1"/>
  <c r="AZ67" i="14" s="1"/>
  <c r="AY67" i="14"/>
  <c r="J67" i="13"/>
  <c r="G67" i="13"/>
  <c r="H67" i="13" s="1"/>
  <c r="I67" i="13" s="1"/>
  <c r="AL68" i="12"/>
  <c r="AO68" i="12" s="1"/>
  <c r="AV68" i="12" s="1"/>
  <c r="AQ68" i="12"/>
  <c r="AR68" i="12" s="1"/>
  <c r="AS68" i="12" s="1"/>
  <c r="AT68" i="12" s="1"/>
  <c r="AZ68" i="12" s="1"/>
  <c r="BB67" i="14" l="1"/>
  <c r="BF67" i="14"/>
  <c r="BG67" i="14" s="1"/>
  <c r="BD67" i="13"/>
  <c r="K67" i="13"/>
  <c r="L67" i="13" s="1"/>
  <c r="M67" i="13" s="1"/>
  <c r="N67" i="13"/>
  <c r="AN68" i="12"/>
  <c r="AU68" i="12"/>
  <c r="AX68" i="12" s="1"/>
  <c r="BA68" i="12" s="1"/>
  <c r="C68" i="14" l="1"/>
  <c r="BE67" i="14"/>
  <c r="O67" i="13"/>
  <c r="P67" i="13"/>
  <c r="T67" i="13"/>
  <c r="U67" i="13"/>
  <c r="W67" i="13" s="1"/>
  <c r="AW68" i="12"/>
  <c r="AY68" i="12" s="1"/>
  <c r="BF68" i="12" s="1"/>
  <c r="BG68" i="12" s="1"/>
  <c r="D68" i="14" l="1"/>
  <c r="E68" i="14"/>
  <c r="F68" i="14" s="1"/>
  <c r="Q67" i="13"/>
  <c r="R67" i="13" s="1"/>
  <c r="S67" i="13" s="1"/>
  <c r="AD67" i="13"/>
  <c r="AC67" i="13"/>
  <c r="V67" i="13"/>
  <c r="BB68" i="12"/>
  <c r="BE68" i="12" s="1"/>
  <c r="J68" i="14" l="1"/>
  <c r="G68" i="14"/>
  <c r="H68" i="14" s="1"/>
  <c r="I68" i="14" s="1"/>
  <c r="AF67" i="13"/>
  <c r="Y67" i="13"/>
  <c r="X67" i="13"/>
  <c r="Z67" i="13" s="1"/>
  <c r="AA67" i="13" s="1"/>
  <c r="AB67" i="13" s="1"/>
  <c r="AL67" i="13"/>
  <c r="AM67" i="13"/>
  <c r="AE67" i="13"/>
  <c r="C69" i="12"/>
  <c r="D69" i="12" s="1"/>
  <c r="E69" i="12"/>
  <c r="F69" i="12" s="1"/>
  <c r="BD68" i="14" l="1"/>
  <c r="K68" i="14"/>
  <c r="L68" i="14" s="1"/>
  <c r="M68" i="14" s="1"/>
  <c r="N68" i="14"/>
  <c r="AO67" i="13"/>
  <c r="AG67" i="13"/>
  <c r="AH67" i="13"/>
  <c r="AV67" i="13"/>
  <c r="AU67" i="13"/>
  <c r="AN67" i="13"/>
  <c r="G69" i="12"/>
  <c r="H69" i="12" s="1"/>
  <c r="I69" i="12" s="1"/>
  <c r="J69" i="12"/>
  <c r="T68" i="14" l="1"/>
  <c r="U68" i="14"/>
  <c r="W68" i="14" s="1"/>
  <c r="P68" i="14"/>
  <c r="O68" i="14"/>
  <c r="Q68" i="14" s="1"/>
  <c r="R68" i="14" s="1"/>
  <c r="S68" i="14" s="1"/>
  <c r="AW67" i="13"/>
  <c r="AX67" i="13"/>
  <c r="BA67" i="13" s="1"/>
  <c r="AI67" i="13"/>
  <c r="AJ67" i="13" s="1"/>
  <c r="AK67" i="13" s="1"/>
  <c r="BD69" i="12"/>
  <c r="K69" i="12"/>
  <c r="L69" i="12" s="1"/>
  <c r="M69" i="12" s="1"/>
  <c r="N69" i="12"/>
  <c r="Y68" i="14" l="1"/>
  <c r="X68" i="14"/>
  <c r="Z68" i="14" s="1"/>
  <c r="AA68" i="14" s="1"/>
  <c r="AB68" i="14" s="1"/>
  <c r="AC68" i="14"/>
  <c r="AD68" i="14"/>
  <c r="V68" i="14"/>
  <c r="AQ67" i="13"/>
  <c r="AP67" i="13"/>
  <c r="AR67" i="13" s="1"/>
  <c r="U69" i="12"/>
  <c r="T69" i="12"/>
  <c r="P69" i="12"/>
  <c r="O69" i="12"/>
  <c r="AE68" i="14" l="1"/>
  <c r="AF68" i="14"/>
  <c r="AH68" i="14"/>
  <c r="AG68" i="14"/>
  <c r="AI68" i="14" s="1"/>
  <c r="AJ68" i="14" s="1"/>
  <c r="AK68" i="14" s="1"/>
  <c r="AS67" i="13"/>
  <c r="AT67" i="13" s="1"/>
  <c r="AZ67" i="13" s="1"/>
  <c r="AY67" i="13"/>
  <c r="Q69" i="12"/>
  <c r="R69" i="12" s="1"/>
  <c r="S69" i="12" s="1"/>
  <c r="Y69" i="12" s="1"/>
  <c r="W69" i="12"/>
  <c r="AD69" i="12" s="1"/>
  <c r="V69" i="12"/>
  <c r="AQ68" i="14" l="1"/>
  <c r="AP68" i="14"/>
  <c r="AR68" i="14" s="1"/>
  <c r="AS68" i="14" s="1"/>
  <c r="AT68" i="14" s="1"/>
  <c r="AZ68" i="14" s="1"/>
  <c r="AL68" i="14"/>
  <c r="AM68" i="14"/>
  <c r="AO68" i="14" s="1"/>
  <c r="BB67" i="13"/>
  <c r="BF67" i="13"/>
  <c r="BG67" i="13" s="1"/>
  <c r="X69" i="12"/>
  <c r="Z69" i="12" s="1"/>
  <c r="AA69" i="12" s="1"/>
  <c r="AB69" i="12" s="1"/>
  <c r="AC69" i="12"/>
  <c r="AE69" i="12" s="1"/>
  <c r="AV68" i="14" l="1"/>
  <c r="AU68" i="14"/>
  <c r="AN68" i="14"/>
  <c r="C68" i="13"/>
  <c r="BE67" i="13"/>
  <c r="AF69" i="12"/>
  <c r="AM69" i="12" s="1"/>
  <c r="AG69" i="12"/>
  <c r="AH69" i="12"/>
  <c r="AW68" i="14" l="1"/>
  <c r="AY68" i="14"/>
  <c r="AX68" i="14"/>
  <c r="BA68" i="14" s="1"/>
  <c r="D68" i="13"/>
  <c r="E68" i="13"/>
  <c r="F68" i="13" s="1"/>
  <c r="AL69" i="12"/>
  <c r="AO69" i="12" s="1"/>
  <c r="AI69" i="12"/>
  <c r="AJ69" i="12" s="1"/>
  <c r="AK69" i="12" s="1"/>
  <c r="AQ69" i="12" s="1"/>
  <c r="BB68" i="14" l="1"/>
  <c r="BF68" i="14"/>
  <c r="BG68" i="14" s="1"/>
  <c r="J68" i="13"/>
  <c r="G68" i="13"/>
  <c r="H68" i="13" s="1"/>
  <c r="I68" i="13" s="1"/>
  <c r="AP69" i="12"/>
  <c r="AR69" i="12" s="1"/>
  <c r="AS69" i="12" s="1"/>
  <c r="AT69" i="12" s="1"/>
  <c r="AZ69" i="12" s="1"/>
  <c r="AN69" i="12"/>
  <c r="AU69" i="12"/>
  <c r="AV69" i="12"/>
  <c r="C69" i="14" l="1"/>
  <c r="BE68" i="14"/>
  <c r="K68" i="13"/>
  <c r="L68" i="13" s="1"/>
  <c r="M68" i="13" s="1"/>
  <c r="BD68" i="13"/>
  <c r="N68" i="13"/>
  <c r="AW69" i="12"/>
  <c r="AY69" i="12" s="1"/>
  <c r="BF69" i="12" s="1"/>
  <c r="BG69" i="12" s="1"/>
  <c r="AX69" i="12"/>
  <c r="BA69" i="12" s="1"/>
  <c r="D22" i="11"/>
  <c r="E22" i="11"/>
  <c r="D69" i="14" l="1"/>
  <c r="E69" i="14"/>
  <c r="F69" i="14" s="1"/>
  <c r="O68" i="13"/>
  <c r="P68" i="13"/>
  <c r="U68" i="13"/>
  <c r="T68" i="13"/>
  <c r="V68" i="13" s="1"/>
  <c r="BB69" i="12"/>
  <c r="C70" i="12" s="1"/>
  <c r="F22" i="11"/>
  <c r="J22" i="11" s="1"/>
  <c r="J69" i="14" l="1"/>
  <c r="G69" i="14"/>
  <c r="H69" i="14" s="1"/>
  <c r="I69" i="14" s="1"/>
  <c r="W68" i="13"/>
  <c r="Q68" i="13"/>
  <c r="R68" i="13" s="1"/>
  <c r="S68" i="13" s="1"/>
  <c r="BE69" i="12"/>
  <c r="D70" i="12"/>
  <c r="E70" i="12"/>
  <c r="G22" i="11"/>
  <c r="H22" i="11" s="1"/>
  <c r="I22" i="11" s="1"/>
  <c r="N22" i="11" s="1"/>
  <c r="BD69" i="14" l="1"/>
  <c r="K69" i="14"/>
  <c r="L69" i="14" s="1"/>
  <c r="M69" i="14" s="1"/>
  <c r="N69" i="14"/>
  <c r="Y68" i="13"/>
  <c r="X68" i="13"/>
  <c r="Z68" i="13" s="1"/>
  <c r="AA68" i="13" s="1"/>
  <c r="AB68" i="13" s="1"/>
  <c r="AC68" i="13"/>
  <c r="AD68" i="13"/>
  <c r="AF68" i="13" s="1"/>
  <c r="F70" i="12"/>
  <c r="K22" i="11"/>
  <c r="L22" i="11" s="1"/>
  <c r="M22" i="11" s="1"/>
  <c r="O22" i="11" s="1"/>
  <c r="U22" i="11"/>
  <c r="T22" i="11"/>
  <c r="P69" i="14" l="1"/>
  <c r="O69" i="14"/>
  <c r="Q69" i="14" s="1"/>
  <c r="R69" i="14" s="1"/>
  <c r="S69" i="14" s="1"/>
  <c r="U69" i="14"/>
  <c r="T69" i="14"/>
  <c r="AM68" i="13"/>
  <c r="AL68" i="13"/>
  <c r="AN68" i="13" s="1"/>
  <c r="AE68" i="13"/>
  <c r="AG68" i="13"/>
  <c r="AH68" i="13"/>
  <c r="J70" i="12"/>
  <c r="G70" i="12"/>
  <c r="H70" i="12" s="1"/>
  <c r="I70" i="12" s="1"/>
  <c r="P22" i="11"/>
  <c r="Q22" i="11" s="1"/>
  <c r="R22" i="11" s="1"/>
  <c r="S22" i="11" s="1"/>
  <c r="V22" i="11"/>
  <c r="W22" i="11"/>
  <c r="W69" i="14" l="1"/>
  <c r="AD69" i="14"/>
  <c r="AC69" i="14"/>
  <c r="AE69" i="14" s="1"/>
  <c r="V69" i="14"/>
  <c r="X69" i="14"/>
  <c r="Y69" i="14"/>
  <c r="AO68" i="13"/>
  <c r="AV68" i="13"/>
  <c r="AU68" i="13"/>
  <c r="AW68" i="13" s="1"/>
  <c r="AI68" i="13"/>
  <c r="AJ68" i="13" s="1"/>
  <c r="AK68" i="13" s="1"/>
  <c r="N70" i="12"/>
  <c r="K70" i="12"/>
  <c r="L70" i="12" s="1"/>
  <c r="M70" i="12" s="1"/>
  <c r="BD70" i="12"/>
  <c r="AD22" i="11"/>
  <c r="AC22" i="11"/>
  <c r="Y22" i="11"/>
  <c r="X22" i="11"/>
  <c r="Z69" i="14" l="1"/>
  <c r="AA69" i="14" s="1"/>
  <c r="AB69" i="14" s="1"/>
  <c r="AF69" i="14"/>
  <c r="AX68" i="13"/>
  <c r="BA68" i="13" s="1"/>
  <c r="AP68" i="13"/>
  <c r="AQ68" i="13"/>
  <c r="P70" i="12"/>
  <c r="O70" i="12"/>
  <c r="U70" i="12"/>
  <c r="T70" i="12"/>
  <c r="AE22" i="11"/>
  <c r="Z22" i="11"/>
  <c r="AA22" i="11" s="1"/>
  <c r="AB22" i="11" s="1"/>
  <c r="AG22" i="11" s="1"/>
  <c r="AF22" i="11"/>
  <c r="Q70" i="12" l="1"/>
  <c r="R70" i="12" s="1"/>
  <c r="S70" i="12" s="1"/>
  <c r="AM69" i="14"/>
  <c r="AL69" i="14"/>
  <c r="AN69" i="14" s="1"/>
  <c r="AH69" i="14"/>
  <c r="AG69" i="14"/>
  <c r="AR68" i="13"/>
  <c r="V70" i="12"/>
  <c r="W70" i="12"/>
  <c r="X70" i="12"/>
  <c r="Y70" i="12"/>
  <c r="AH22" i="11"/>
  <c r="AI22" i="11" s="1"/>
  <c r="AJ22" i="11" s="1"/>
  <c r="AK22" i="11" s="1"/>
  <c r="AM22" i="11"/>
  <c r="AL22" i="11"/>
  <c r="AI69" i="14" l="1"/>
  <c r="AJ69" i="14" s="1"/>
  <c r="AK69" i="14" s="1"/>
  <c r="AO69" i="14"/>
  <c r="AP69" i="14"/>
  <c r="AQ69" i="14"/>
  <c r="AS68" i="13"/>
  <c r="AT68" i="13" s="1"/>
  <c r="AZ68" i="13" s="1"/>
  <c r="AY68" i="13"/>
  <c r="Z70" i="12"/>
  <c r="AA70" i="12" s="1"/>
  <c r="AB70" i="12" s="1"/>
  <c r="AD70" i="12"/>
  <c r="AC70" i="12"/>
  <c r="AN22" i="11"/>
  <c r="AQ22" i="11"/>
  <c r="AP22" i="11"/>
  <c r="AO22" i="11"/>
  <c r="AR69" i="14" l="1"/>
  <c r="AS69" i="14" s="1"/>
  <c r="AT69" i="14" s="1"/>
  <c r="AZ69" i="14" s="1"/>
  <c r="AV69" i="14"/>
  <c r="AU69" i="14"/>
  <c r="AW69" i="14" s="1"/>
  <c r="AY69" i="14" s="1"/>
  <c r="BB68" i="13"/>
  <c r="BF68" i="13"/>
  <c r="BG68" i="13" s="1"/>
  <c r="AE70" i="12"/>
  <c r="AF70" i="12"/>
  <c r="AM70" i="12" s="1"/>
  <c r="AG70" i="12"/>
  <c r="AH70" i="12"/>
  <c r="AR22" i="11"/>
  <c r="AS22" i="11" s="1"/>
  <c r="AT22" i="11" s="1"/>
  <c r="AZ22" i="11" s="1"/>
  <c r="AU22" i="11"/>
  <c r="AV22" i="11"/>
  <c r="BF69" i="14" l="1"/>
  <c r="BG69" i="14" s="1"/>
  <c r="AX69" i="14"/>
  <c r="BA69" i="14" s="1"/>
  <c r="BB69" i="14" s="1"/>
  <c r="BE68" i="13"/>
  <c r="C69" i="13"/>
  <c r="AL70" i="12"/>
  <c r="AN70" i="12" s="1"/>
  <c r="AI70" i="12"/>
  <c r="AJ70" i="12" s="1"/>
  <c r="AK70" i="12" s="1"/>
  <c r="AX22" i="11"/>
  <c r="BA22" i="11" s="1"/>
  <c r="AW22" i="11"/>
  <c r="AY22" i="11" s="1"/>
  <c r="BB22" i="11" s="1"/>
  <c r="C23" i="11" s="1"/>
  <c r="BE69" i="14" l="1"/>
  <c r="C70" i="14"/>
  <c r="E69" i="13"/>
  <c r="D69" i="13"/>
  <c r="AO70" i="12"/>
  <c r="AU70" i="12" s="1"/>
  <c r="AQ70" i="12"/>
  <c r="AP70" i="12"/>
  <c r="D23" i="11"/>
  <c r="E23" i="11"/>
  <c r="E70" i="14" l="1"/>
  <c r="D70" i="14"/>
  <c r="F69" i="13"/>
  <c r="AV70" i="12"/>
  <c r="AX70" i="12" s="1"/>
  <c r="BA70" i="12" s="1"/>
  <c r="AR70" i="12"/>
  <c r="AS70" i="12" s="1"/>
  <c r="AT70" i="12" s="1"/>
  <c r="AZ70" i="12" s="1"/>
  <c r="F23" i="11"/>
  <c r="J23" i="11" s="1"/>
  <c r="F70" i="14" l="1"/>
  <c r="J69" i="13"/>
  <c r="G69" i="13"/>
  <c r="H69" i="13" s="1"/>
  <c r="I69" i="13" s="1"/>
  <c r="AW70" i="12"/>
  <c r="AY70" i="12" s="1"/>
  <c r="BB70" i="12" s="1"/>
  <c r="G23" i="11"/>
  <c r="H23" i="11" s="1"/>
  <c r="I23" i="11" s="1"/>
  <c r="K23" i="11" s="1"/>
  <c r="L23" i="11" s="1"/>
  <c r="M23" i="11" s="1"/>
  <c r="J70" i="14" l="1"/>
  <c r="G70" i="14"/>
  <c r="H70" i="14" s="1"/>
  <c r="I70" i="14" s="1"/>
  <c r="K69" i="13"/>
  <c r="L69" i="13" s="1"/>
  <c r="M69" i="13" s="1"/>
  <c r="BD69" i="13"/>
  <c r="N69" i="13"/>
  <c r="BF70" i="12"/>
  <c r="BG70" i="12" s="1"/>
  <c r="C71" i="12"/>
  <c r="BE70" i="12"/>
  <c r="N23" i="11"/>
  <c r="U23" i="11" s="1"/>
  <c r="P23" i="11"/>
  <c r="O23" i="11"/>
  <c r="K70" i="14" l="1"/>
  <c r="L70" i="14" s="1"/>
  <c r="M70" i="14" s="1"/>
  <c r="BD70" i="14"/>
  <c r="N70" i="14"/>
  <c r="U69" i="13"/>
  <c r="T69" i="13"/>
  <c r="V69" i="13" s="1"/>
  <c r="P69" i="13"/>
  <c r="O69" i="13"/>
  <c r="D71" i="12"/>
  <c r="E71" i="12"/>
  <c r="T23" i="11"/>
  <c r="V23" i="11" s="1"/>
  <c r="Q23" i="11"/>
  <c r="R23" i="11" s="1"/>
  <c r="S23" i="11" s="1"/>
  <c r="Y23" i="11" s="1"/>
  <c r="T70" i="14" l="1"/>
  <c r="U70" i="14"/>
  <c r="W70" i="14" s="1"/>
  <c r="P70" i="14"/>
  <c r="O70" i="14"/>
  <c r="Q69" i="13"/>
  <c r="R69" i="13" s="1"/>
  <c r="S69" i="13" s="1"/>
  <c r="W69" i="13"/>
  <c r="F71" i="12"/>
  <c r="G71" i="12" s="1"/>
  <c r="H71" i="12" s="1"/>
  <c r="I71" i="12" s="1"/>
  <c r="W23" i="11"/>
  <c r="AD23" i="11" s="1"/>
  <c r="X23" i="11"/>
  <c r="Z23" i="11" s="1"/>
  <c r="AA23" i="11" s="1"/>
  <c r="AB23" i="11" s="1"/>
  <c r="AG23" i="11" s="1"/>
  <c r="AD70" i="14" l="1"/>
  <c r="AC70" i="14"/>
  <c r="AE70" i="14" s="1"/>
  <c r="Q70" i="14"/>
  <c r="R70" i="14" s="1"/>
  <c r="S70" i="14" s="1"/>
  <c r="V70" i="14"/>
  <c r="AC69" i="13"/>
  <c r="AD69" i="13"/>
  <c r="AF69" i="13" s="1"/>
  <c r="X69" i="13"/>
  <c r="Y69" i="13"/>
  <c r="J71" i="12"/>
  <c r="K71" i="12"/>
  <c r="L71" i="12" s="1"/>
  <c r="BD71" i="12"/>
  <c r="N71" i="12"/>
  <c r="AC23" i="11"/>
  <c r="AE23" i="11" s="1"/>
  <c r="AH23" i="11"/>
  <c r="AI23" i="11" s="1"/>
  <c r="AJ23" i="11" s="1"/>
  <c r="AK23" i="11" s="1"/>
  <c r="X70" i="14" l="1"/>
  <c r="Y70" i="14"/>
  <c r="AF70" i="14"/>
  <c r="AE69" i="13"/>
  <c r="AL69" i="13"/>
  <c r="AM69" i="13"/>
  <c r="AO69" i="13" s="1"/>
  <c r="Z69" i="13"/>
  <c r="AA69" i="13" s="1"/>
  <c r="AB69" i="13" s="1"/>
  <c r="M71" i="12"/>
  <c r="O71" i="12" s="1"/>
  <c r="U71" i="12"/>
  <c r="T71" i="12"/>
  <c r="P71" i="12"/>
  <c r="AF23" i="11"/>
  <c r="AM23" i="11" s="1"/>
  <c r="AQ23" i="11"/>
  <c r="AP23" i="11"/>
  <c r="AL70" i="14" l="1"/>
  <c r="AM70" i="14"/>
  <c r="AO70" i="14" s="1"/>
  <c r="Z70" i="14"/>
  <c r="AA70" i="14" s="1"/>
  <c r="AB70" i="14" s="1"/>
  <c r="AU69" i="13"/>
  <c r="AV69" i="13"/>
  <c r="AH69" i="13"/>
  <c r="AG69" i="13"/>
  <c r="AI69" i="13" s="1"/>
  <c r="AJ69" i="13" s="1"/>
  <c r="AK69" i="13" s="1"/>
  <c r="AN69" i="13"/>
  <c r="V71" i="12"/>
  <c r="Q71" i="12"/>
  <c r="R71" i="12" s="1"/>
  <c r="S71" i="12" s="1"/>
  <c r="W71" i="12"/>
  <c r="AL23" i="11"/>
  <c r="AO23" i="11" s="1"/>
  <c r="AV23" i="11" s="1"/>
  <c r="AR23" i="11"/>
  <c r="AS23" i="11" s="1"/>
  <c r="AT23" i="11" s="1"/>
  <c r="AZ23" i="11" s="1"/>
  <c r="AG70" i="14" l="1"/>
  <c r="AH70" i="14"/>
  <c r="AV70" i="14"/>
  <c r="AU70" i="14"/>
  <c r="AN70" i="14"/>
  <c r="AW69" i="13"/>
  <c r="AP69" i="13"/>
  <c r="AQ69" i="13"/>
  <c r="AX69" i="13"/>
  <c r="BA69" i="13" s="1"/>
  <c r="X71" i="12"/>
  <c r="Y71" i="12"/>
  <c r="AD71" i="12"/>
  <c r="AC71" i="12"/>
  <c r="AN23" i="11"/>
  <c r="AU23" i="11"/>
  <c r="AW23" i="11" s="1"/>
  <c r="AX70" i="14" l="1"/>
  <c r="BA70" i="14" s="1"/>
  <c r="AW70" i="14"/>
  <c r="AI70" i="14"/>
  <c r="AJ70" i="14" s="1"/>
  <c r="AK70" i="14" s="1"/>
  <c r="AR69" i="13"/>
  <c r="Z71" i="12"/>
  <c r="AA71" i="12" s="1"/>
  <c r="AB71" i="12" s="1"/>
  <c r="AG71" i="12" s="1"/>
  <c r="AF71" i="12"/>
  <c r="AM71" i="12" s="1"/>
  <c r="AE71" i="12"/>
  <c r="AY23" i="11"/>
  <c r="BB23" i="11" s="1"/>
  <c r="C24" i="11" s="1"/>
  <c r="D24" i="11" s="1"/>
  <c r="AX23" i="11"/>
  <c r="BA23" i="11" s="1"/>
  <c r="AH71" i="12" l="1"/>
  <c r="AP70" i="14"/>
  <c r="AQ70" i="14"/>
  <c r="AS69" i="13"/>
  <c r="AT69" i="13" s="1"/>
  <c r="AZ69" i="13" s="1"/>
  <c r="AY69" i="13"/>
  <c r="AL71" i="12"/>
  <c r="AO71" i="12" s="1"/>
  <c r="AI71" i="12"/>
  <c r="AJ71" i="12" s="1"/>
  <c r="AK71" i="12" s="1"/>
  <c r="E24" i="11"/>
  <c r="F24" i="11" s="1"/>
  <c r="G24" i="11" s="1"/>
  <c r="H24" i="11" s="1"/>
  <c r="I24" i="11" s="1"/>
  <c r="AR70" i="14" l="1"/>
  <c r="BB69" i="13"/>
  <c r="BF69" i="13"/>
  <c r="BG69" i="13" s="1"/>
  <c r="AN71" i="12"/>
  <c r="AU71" i="12"/>
  <c r="AV71" i="12"/>
  <c r="AQ71" i="12"/>
  <c r="AP71" i="12"/>
  <c r="J24" i="11"/>
  <c r="N24" i="11" s="1"/>
  <c r="K24" i="11"/>
  <c r="L24" i="11" s="1"/>
  <c r="AS70" i="14" l="1"/>
  <c r="AT70" i="14" s="1"/>
  <c r="AZ70" i="14" s="1"/>
  <c r="AY70" i="14"/>
  <c r="C70" i="13"/>
  <c r="BE69" i="13"/>
  <c r="AX71" i="12"/>
  <c r="BA71" i="12" s="1"/>
  <c r="AR71" i="12"/>
  <c r="AS71" i="12" s="1"/>
  <c r="AT71" i="12" s="1"/>
  <c r="AZ71" i="12" s="1"/>
  <c r="AW71" i="12"/>
  <c r="M24" i="11"/>
  <c r="O24" i="11" s="1"/>
  <c r="U24" i="11"/>
  <c r="T24" i="11"/>
  <c r="BB70" i="14" l="1"/>
  <c r="BF70" i="14"/>
  <c r="BG70" i="14" s="1"/>
  <c r="E70" i="13"/>
  <c r="D70" i="13"/>
  <c r="AY71" i="12"/>
  <c r="BF71" i="12" s="1"/>
  <c r="BG71" i="12" s="1"/>
  <c r="P24" i="11"/>
  <c r="Q24" i="11" s="1"/>
  <c r="R24" i="11" s="1"/>
  <c r="S24" i="11" s="1"/>
  <c r="W24" i="11"/>
  <c r="AC24" i="11" s="1"/>
  <c r="V24" i="11"/>
  <c r="BE70" i="14" l="1"/>
  <c r="C71" i="14"/>
  <c r="F70" i="13"/>
  <c r="BB71" i="12"/>
  <c r="BE71" i="12" s="1"/>
  <c r="AD24" i="11"/>
  <c r="AE24" i="11" s="1"/>
  <c r="Y24" i="11"/>
  <c r="X24" i="11"/>
  <c r="C72" i="12" l="1"/>
  <c r="D71" i="14"/>
  <c r="E71" i="14"/>
  <c r="F71" i="14" s="1"/>
  <c r="J70" i="13"/>
  <c r="G70" i="13"/>
  <c r="H70" i="13" s="1"/>
  <c r="I70" i="13" s="1"/>
  <c r="D72" i="12"/>
  <c r="E72" i="12"/>
  <c r="AF24" i="11"/>
  <c r="AM24" i="11" s="1"/>
  <c r="Z24" i="11"/>
  <c r="AA24" i="11" s="1"/>
  <c r="AB24" i="11" s="1"/>
  <c r="J71" i="14" l="1"/>
  <c r="G71" i="14"/>
  <c r="H71" i="14" s="1"/>
  <c r="I71" i="14" s="1"/>
  <c r="BD70" i="13"/>
  <c r="K70" i="13"/>
  <c r="L70" i="13" s="1"/>
  <c r="M70" i="13" s="1"/>
  <c r="N70" i="13"/>
  <c r="F72" i="12"/>
  <c r="AL24" i="11"/>
  <c r="AN24" i="11" s="1"/>
  <c r="AH24" i="11"/>
  <c r="AG24" i="11"/>
  <c r="BD71" i="14" l="1"/>
  <c r="K71" i="14"/>
  <c r="L71" i="14" s="1"/>
  <c r="M71" i="14" s="1"/>
  <c r="N71" i="14"/>
  <c r="T70" i="13"/>
  <c r="U70" i="13"/>
  <c r="W70" i="13" s="1"/>
  <c r="P70" i="13"/>
  <c r="O70" i="13"/>
  <c r="Q70" i="13" s="1"/>
  <c r="R70" i="13" s="1"/>
  <c r="S70" i="13" s="1"/>
  <c r="G72" i="12"/>
  <c r="H72" i="12" s="1"/>
  <c r="I72" i="12" s="1"/>
  <c r="J72" i="12"/>
  <c r="AO24" i="11"/>
  <c r="AV24" i="11" s="1"/>
  <c r="AI24" i="11"/>
  <c r="AJ24" i="11" s="1"/>
  <c r="AK24" i="11" s="1"/>
  <c r="T71" i="14" l="1"/>
  <c r="U71" i="14"/>
  <c r="W71" i="14" s="1"/>
  <c r="P71" i="14"/>
  <c r="O71" i="14"/>
  <c r="Y70" i="13"/>
  <c r="X70" i="13"/>
  <c r="Z70" i="13" s="1"/>
  <c r="AA70" i="13" s="1"/>
  <c r="AB70" i="13" s="1"/>
  <c r="AC70" i="13"/>
  <c r="AD70" i="13"/>
  <c r="AF70" i="13" s="1"/>
  <c r="V70" i="13"/>
  <c r="BD72" i="12"/>
  <c r="K72" i="12"/>
  <c r="L72" i="12" s="1"/>
  <c r="M72" i="12" s="1"/>
  <c r="N72" i="12"/>
  <c r="AU24" i="11"/>
  <c r="AW24" i="11" s="1"/>
  <c r="AQ24" i="11"/>
  <c r="AP24" i="11"/>
  <c r="Q71" i="14" l="1"/>
  <c r="R71" i="14" s="1"/>
  <c r="S71" i="14" s="1"/>
  <c r="Y71" i="14"/>
  <c r="X71" i="14"/>
  <c r="Z71" i="14" s="1"/>
  <c r="AA71" i="14" s="1"/>
  <c r="AB71" i="14" s="1"/>
  <c r="AD71" i="14"/>
  <c r="AC71" i="14"/>
  <c r="V71" i="14"/>
  <c r="AL70" i="13"/>
  <c r="AM70" i="13"/>
  <c r="AH70" i="13"/>
  <c r="AG70" i="13"/>
  <c r="AI70" i="13" s="1"/>
  <c r="AJ70" i="13" s="1"/>
  <c r="AK70" i="13" s="1"/>
  <c r="AE70" i="13"/>
  <c r="T72" i="12"/>
  <c r="U72" i="12"/>
  <c r="P72" i="12"/>
  <c r="O72" i="12"/>
  <c r="AX24" i="11"/>
  <c r="BA24" i="11" s="1"/>
  <c r="AR24" i="11"/>
  <c r="AS24" i="11" s="1"/>
  <c r="AT24" i="11" s="1"/>
  <c r="AZ24" i="11" s="1"/>
  <c r="AF71" i="14" l="1"/>
  <c r="AL71" i="14"/>
  <c r="AM71" i="14"/>
  <c r="AO71" i="14" s="1"/>
  <c r="AE71" i="14"/>
  <c r="AH71" i="14"/>
  <c r="AG71" i="14"/>
  <c r="AI71" i="14" s="1"/>
  <c r="AJ71" i="14" s="1"/>
  <c r="AK71" i="14" s="1"/>
  <c r="AN70" i="13"/>
  <c r="AQ70" i="13"/>
  <c r="AP70" i="13"/>
  <c r="AR70" i="13" s="1"/>
  <c r="AS70" i="13" s="1"/>
  <c r="AT70" i="13" s="1"/>
  <c r="AZ70" i="13" s="1"/>
  <c r="AO70" i="13"/>
  <c r="W72" i="12"/>
  <c r="AD72" i="12" s="1"/>
  <c r="Q72" i="12"/>
  <c r="V72" i="12"/>
  <c r="AY24" i="11"/>
  <c r="BB24" i="11" s="1"/>
  <c r="C25" i="11" s="1"/>
  <c r="D25" i="11" s="1"/>
  <c r="AC72" i="12" l="1"/>
  <c r="AU71" i="14"/>
  <c r="AV71" i="14"/>
  <c r="AX71" i="14" s="1"/>
  <c r="BA71" i="14" s="1"/>
  <c r="AQ71" i="14"/>
  <c r="AP71" i="14"/>
  <c r="AN71" i="14"/>
  <c r="AU70" i="13"/>
  <c r="AV70" i="13"/>
  <c r="AX70" i="13" s="1"/>
  <c r="BA70" i="13" s="1"/>
  <c r="R72" i="12"/>
  <c r="S72" i="12" s="1"/>
  <c r="AF72" i="12"/>
  <c r="AL72" i="12" s="1"/>
  <c r="AE72" i="12"/>
  <c r="E25" i="11"/>
  <c r="F25" i="11" s="1"/>
  <c r="AR71" i="14" l="1"/>
  <c r="AS71" i="14" s="1"/>
  <c r="AT71" i="14" s="1"/>
  <c r="AZ71" i="14" s="1"/>
  <c r="AW71" i="14"/>
  <c r="AY71" i="14" s="1"/>
  <c r="AW70" i="13"/>
  <c r="AY70" i="13" s="1"/>
  <c r="X72" i="12"/>
  <c r="Y72" i="12"/>
  <c r="AM72" i="12"/>
  <c r="AN72" i="12" s="1"/>
  <c r="J25" i="11"/>
  <c r="G25" i="11"/>
  <c r="H25" i="11" s="1"/>
  <c r="I25" i="11" s="1"/>
  <c r="Z72" i="12" l="1"/>
  <c r="AA72" i="12" s="1"/>
  <c r="AB72" i="12" s="1"/>
  <c r="AH72" i="12" s="1"/>
  <c r="BB71" i="14"/>
  <c r="BF71" i="14"/>
  <c r="BG71" i="14" s="1"/>
  <c r="BB70" i="13"/>
  <c r="BF70" i="13"/>
  <c r="BG70" i="13" s="1"/>
  <c r="AO72" i="12"/>
  <c r="AV72" i="12" s="1"/>
  <c r="K25" i="11"/>
  <c r="L25" i="11" s="1"/>
  <c r="M25" i="11" s="1"/>
  <c r="N25" i="11"/>
  <c r="AG72" i="12" l="1"/>
  <c r="C72" i="14"/>
  <c r="BE71" i="14"/>
  <c r="C71" i="13"/>
  <c r="BE70" i="13"/>
  <c r="AU72" i="12"/>
  <c r="AW72" i="12" s="1"/>
  <c r="AI72" i="12"/>
  <c r="AJ72" i="12" s="1"/>
  <c r="AK72" i="12" s="1"/>
  <c r="U25" i="11"/>
  <c r="T25" i="11"/>
  <c r="O25" i="11"/>
  <c r="P25" i="11"/>
  <c r="D72" i="14" l="1"/>
  <c r="E72" i="14"/>
  <c r="D71" i="13"/>
  <c r="E71" i="13"/>
  <c r="F71" i="13" s="1"/>
  <c r="AX72" i="12"/>
  <c r="BA72" i="12" s="1"/>
  <c r="AQ72" i="12"/>
  <c r="AP72" i="12"/>
  <c r="V25" i="11"/>
  <c r="Q25" i="11"/>
  <c r="R25" i="11" s="1"/>
  <c r="S25" i="11" s="1"/>
  <c r="X25" i="11" s="1"/>
  <c r="W25" i="11"/>
  <c r="F72" i="14" l="1"/>
  <c r="J72" i="14"/>
  <c r="G72" i="14"/>
  <c r="H72" i="14" s="1"/>
  <c r="I72" i="14" s="1"/>
  <c r="J71" i="13"/>
  <c r="G71" i="13"/>
  <c r="H71" i="13" s="1"/>
  <c r="I71" i="13" s="1"/>
  <c r="AR72" i="12"/>
  <c r="AS72" i="12" s="1"/>
  <c r="AT72" i="12" s="1"/>
  <c r="AZ72" i="12" s="1"/>
  <c r="Y25" i="11"/>
  <c r="Z25" i="11" s="1"/>
  <c r="AA25" i="11" s="1"/>
  <c r="AB25" i="11" s="1"/>
  <c r="AG25" i="11" s="1"/>
  <c r="AD25" i="11"/>
  <c r="AC25" i="11"/>
  <c r="K72" i="14" l="1"/>
  <c r="L72" i="14" s="1"/>
  <c r="M72" i="14" s="1"/>
  <c r="BD72" i="14"/>
  <c r="N72" i="14"/>
  <c r="BD71" i="13"/>
  <c r="K71" i="13"/>
  <c r="L71" i="13" s="1"/>
  <c r="M71" i="13" s="1"/>
  <c r="N71" i="13"/>
  <c r="AY72" i="12"/>
  <c r="BF72" i="12" s="1"/>
  <c r="BG72" i="12" s="1"/>
  <c r="BB72" i="12"/>
  <c r="AF25" i="11"/>
  <c r="AM25" i="11" s="1"/>
  <c r="AH25" i="11"/>
  <c r="AI25" i="11" s="1"/>
  <c r="AJ25" i="11" s="1"/>
  <c r="AK25" i="11" s="1"/>
  <c r="AE25" i="11"/>
  <c r="P72" i="14" l="1"/>
  <c r="O72" i="14"/>
  <c r="U72" i="14"/>
  <c r="T72" i="14"/>
  <c r="V72" i="14" s="1"/>
  <c r="U71" i="13"/>
  <c r="T71" i="13"/>
  <c r="V71" i="13" s="1"/>
  <c r="O71" i="13"/>
  <c r="P71" i="13"/>
  <c r="BE72" i="12"/>
  <c r="BE5" i="12" a="1"/>
  <c r="BB5" i="12" a="1"/>
  <c r="AL25" i="11"/>
  <c r="AO25" i="11" s="1"/>
  <c r="AV25" i="11" s="1"/>
  <c r="AP25" i="11"/>
  <c r="AQ25" i="11"/>
  <c r="W72" i="14" l="1"/>
  <c r="Q72" i="14"/>
  <c r="R72" i="14" s="1"/>
  <c r="S72" i="14" s="1"/>
  <c r="Q71" i="13"/>
  <c r="R71" i="13" s="1"/>
  <c r="S71" i="13" s="1"/>
  <c r="W71" i="13"/>
  <c r="BC6" i="12"/>
  <c r="BB8" i="12"/>
  <c r="BB6" i="12"/>
  <c r="BB7" i="12"/>
  <c r="BB5" i="12"/>
  <c r="BB4" i="12" s="1"/>
  <c r="BC7" i="12"/>
  <c r="BC5" i="12"/>
  <c r="BC8" i="12"/>
  <c r="BE7" i="12"/>
  <c r="BE5" i="12"/>
  <c r="BF5" i="12"/>
  <c r="BE6" i="12"/>
  <c r="BE8" i="12"/>
  <c r="BF9" i="12"/>
  <c r="BF6" i="12"/>
  <c r="BE9" i="12"/>
  <c r="BF7" i="12"/>
  <c r="BF8" i="12"/>
  <c r="AN25" i="11"/>
  <c r="AU25" i="11"/>
  <c r="AW25" i="11" s="1"/>
  <c r="AR25" i="11"/>
  <c r="AS25" i="11" s="1"/>
  <c r="AT25" i="11" s="1"/>
  <c r="AZ25" i="11" s="1"/>
  <c r="X72" i="14" l="1"/>
  <c r="Y72" i="14"/>
  <c r="AD72" i="14"/>
  <c r="AC72" i="14"/>
  <c r="AE72" i="14" s="1"/>
  <c r="AD71" i="13"/>
  <c r="AC71" i="13"/>
  <c r="AE71" i="13" s="1"/>
  <c r="Y71" i="13"/>
  <c r="X71" i="13"/>
  <c r="Z71" i="13" s="1"/>
  <c r="AA71" i="13" s="1"/>
  <c r="AB71" i="13" s="1"/>
  <c r="AX25" i="11"/>
  <c r="BA25" i="11" s="1"/>
  <c r="AY25" i="11"/>
  <c r="BB25" i="11" s="1"/>
  <c r="C26" i="11" s="1"/>
  <c r="Z72" i="14" l="1"/>
  <c r="AA72" i="14" s="1"/>
  <c r="AB72" i="14" s="1"/>
  <c r="AF72" i="14"/>
  <c r="AH72" i="14"/>
  <c r="AG72" i="14"/>
  <c r="AI72" i="14" s="1"/>
  <c r="AJ72" i="14" s="1"/>
  <c r="AK72" i="14" s="1"/>
  <c r="AG71" i="13"/>
  <c r="AH71" i="13"/>
  <c r="AF71" i="13"/>
  <c r="E26" i="11"/>
  <c r="D26" i="11"/>
  <c r="AP72" i="14" l="1"/>
  <c r="AQ72" i="14"/>
  <c r="AM72" i="14"/>
  <c r="AL72" i="14"/>
  <c r="AN72" i="14" s="1"/>
  <c r="AM71" i="13"/>
  <c r="AL71" i="13"/>
  <c r="AN71" i="13" s="1"/>
  <c r="AI71" i="13"/>
  <c r="AJ71" i="13" s="1"/>
  <c r="AK71" i="13" s="1"/>
  <c r="F26" i="11"/>
  <c r="AO72" i="14" l="1"/>
  <c r="AR72" i="14"/>
  <c r="AS72" i="14" s="1"/>
  <c r="AT72" i="14" s="1"/>
  <c r="AZ72" i="14" s="1"/>
  <c r="AP71" i="13"/>
  <c r="AQ71" i="13"/>
  <c r="AO71" i="13"/>
  <c r="G26" i="11"/>
  <c r="H26" i="11" s="1"/>
  <c r="I26" i="11" s="1"/>
  <c r="J26" i="11"/>
  <c r="AV72" i="14" l="1"/>
  <c r="AU72" i="14"/>
  <c r="AW72" i="14" s="1"/>
  <c r="AY72" i="14" s="1"/>
  <c r="AU71" i="13"/>
  <c r="AV71" i="13"/>
  <c r="AX71" i="13" s="1"/>
  <c r="BA71" i="13" s="1"/>
  <c r="AR71" i="13"/>
  <c r="AS71" i="13" s="1"/>
  <c r="AT71" i="13" s="1"/>
  <c r="AZ71" i="13" s="1"/>
  <c r="N26" i="11"/>
  <c r="T26" i="11" s="1"/>
  <c r="K26" i="11"/>
  <c r="L26" i="11" s="1"/>
  <c r="M26" i="11" s="1"/>
  <c r="BF72" i="14" l="1"/>
  <c r="BG72" i="14" s="1"/>
  <c r="AX72" i="14"/>
  <c r="BA72" i="14" s="1"/>
  <c r="BB72" i="14" s="1"/>
  <c r="AW71" i="13"/>
  <c r="AY71" i="13" s="1"/>
  <c r="U26" i="11"/>
  <c r="V26" i="11" s="1"/>
  <c r="P26" i="11"/>
  <c r="O26" i="11"/>
  <c r="BE72" i="14" l="1"/>
  <c r="BE5" i="14" a="1"/>
  <c r="BB71" i="13"/>
  <c r="BF71" i="13"/>
  <c r="BG71" i="13" s="1"/>
  <c r="W26" i="11"/>
  <c r="AC26" i="11" s="1"/>
  <c r="Q26" i="11"/>
  <c r="R26" i="11" s="1"/>
  <c r="S26" i="11" s="1"/>
  <c r="Y26" i="11" s="1"/>
  <c r="BE8" i="14" l="1"/>
  <c r="BE5" i="14"/>
  <c r="BF7" i="14"/>
  <c r="BE7" i="14"/>
  <c r="BF9" i="14"/>
  <c r="BF6" i="14"/>
  <c r="BF8" i="14"/>
  <c r="BF5" i="14"/>
  <c r="BE9" i="14"/>
  <c r="BE6" i="14"/>
  <c r="BE71" i="13"/>
  <c r="C72" i="13"/>
  <c r="AD26" i="11"/>
  <c r="AF26" i="11" s="1"/>
  <c r="AL26" i="11" s="1"/>
  <c r="X26" i="11"/>
  <c r="Z26" i="11" s="1"/>
  <c r="AA26" i="11" s="1"/>
  <c r="AB26" i="11" s="1"/>
  <c r="E72" i="13" l="1"/>
  <c r="D72" i="13"/>
  <c r="AM26" i="11"/>
  <c r="AO26" i="11" s="1"/>
  <c r="AV26" i="11" s="1"/>
  <c r="AE26" i="11"/>
  <c r="AG26" i="11"/>
  <c r="AH26" i="11"/>
  <c r="F72" i="13" l="1"/>
  <c r="AN26" i="11"/>
  <c r="AU26" i="11"/>
  <c r="AW26" i="11" s="1"/>
  <c r="AI26" i="11"/>
  <c r="AJ26" i="11" s="1"/>
  <c r="AK26" i="11" s="1"/>
  <c r="AQ26" i="11" s="1"/>
  <c r="J72" i="13" l="1"/>
  <c r="G72" i="13"/>
  <c r="H72" i="13" s="1"/>
  <c r="I72" i="13" s="1"/>
  <c r="AP26" i="11"/>
  <c r="AR26" i="11" s="1"/>
  <c r="AS26" i="11" s="1"/>
  <c r="AT26" i="11" s="1"/>
  <c r="AZ26" i="11" s="1"/>
  <c r="AX26" i="11"/>
  <c r="BA26" i="11" s="1"/>
  <c r="K72" i="13" l="1"/>
  <c r="L72" i="13" s="1"/>
  <c r="M72" i="13" s="1"/>
  <c r="BD72" i="13"/>
  <c r="N72" i="13"/>
  <c r="AY26" i="11"/>
  <c r="BB26" i="11" s="1"/>
  <c r="C27" i="11" s="1"/>
  <c r="D27" i="11" s="1"/>
  <c r="U72" i="13" l="1"/>
  <c r="T72" i="13"/>
  <c r="V72" i="13" s="1"/>
  <c r="O72" i="13"/>
  <c r="P72" i="13"/>
  <c r="E27" i="11"/>
  <c r="F27" i="11" s="1"/>
  <c r="G27" i="11" s="1"/>
  <c r="H27" i="11" s="1"/>
  <c r="I27" i="11" s="1"/>
  <c r="Q72" i="13" l="1"/>
  <c r="R72" i="13" s="1"/>
  <c r="S72" i="13" s="1"/>
  <c r="W72" i="13"/>
  <c r="J27" i="11"/>
  <c r="N27" i="11" s="1"/>
  <c r="K27" i="11"/>
  <c r="L27" i="11" s="1"/>
  <c r="AC72" i="13" l="1"/>
  <c r="AD72" i="13"/>
  <c r="AF72" i="13" s="1"/>
  <c r="X72" i="13"/>
  <c r="Y72" i="13"/>
  <c r="M27" i="11"/>
  <c r="O27" i="11" s="1"/>
  <c r="T27" i="11"/>
  <c r="U27" i="11"/>
  <c r="AL72" i="13" l="1"/>
  <c r="AM72" i="13"/>
  <c r="AO72" i="13" s="1"/>
  <c r="Z72" i="13"/>
  <c r="AA72" i="13" s="1"/>
  <c r="AB72" i="13" s="1"/>
  <c r="AE72" i="13"/>
  <c r="P27" i="11"/>
  <c r="Q27" i="11" s="1"/>
  <c r="R27" i="11" s="1"/>
  <c r="S27" i="11" s="1"/>
  <c r="V27" i="11"/>
  <c r="W27" i="11"/>
  <c r="AH72" i="13" l="1"/>
  <c r="AG72" i="13"/>
  <c r="AI72" i="13" s="1"/>
  <c r="AJ72" i="13" s="1"/>
  <c r="AK72" i="13" s="1"/>
  <c r="AU72" i="13"/>
  <c r="AV72" i="13"/>
  <c r="AX72" i="13" s="1"/>
  <c r="BA72" i="13" s="1"/>
  <c r="AN72" i="13"/>
  <c r="X27" i="11"/>
  <c r="Y27" i="11"/>
  <c r="AC27" i="11"/>
  <c r="AD27" i="11"/>
  <c r="AW72" i="13" l="1"/>
  <c r="AP72" i="13"/>
  <c r="AQ72" i="13"/>
  <c r="AF27" i="11"/>
  <c r="AM27" i="11" s="1"/>
  <c r="AE27" i="11"/>
  <c r="Z27" i="11"/>
  <c r="AA27" i="11" s="1"/>
  <c r="AB27" i="11" s="1"/>
  <c r="AR72" i="13" l="1"/>
  <c r="AS72" i="13" s="1"/>
  <c r="AT72" i="13" s="1"/>
  <c r="AZ72" i="13" s="1"/>
  <c r="AY72" i="13"/>
  <c r="AL27" i="11"/>
  <c r="AN27" i="11" s="1"/>
  <c r="AH27" i="11"/>
  <c r="AG27" i="11"/>
  <c r="BB72" i="13" l="1"/>
  <c r="BE72" i="13" s="1"/>
  <c r="BF72" i="13"/>
  <c r="BG72" i="13" s="1"/>
  <c r="AO27" i="11"/>
  <c r="AU27" i="11" s="1"/>
  <c r="AI27" i="11"/>
  <c r="AJ27" i="11" s="1"/>
  <c r="AK27" i="11" s="1"/>
  <c r="AP27" i="11" s="1"/>
  <c r="AV27" i="11" l="1"/>
  <c r="AX27" i="11" s="1"/>
  <c r="BA27" i="11" s="1"/>
  <c r="AQ27" i="11"/>
  <c r="AR27" i="11" s="1"/>
  <c r="AS27" i="11" s="1"/>
  <c r="AT27" i="11" s="1"/>
  <c r="AZ27" i="11" s="1"/>
  <c r="AW27" i="11" l="1"/>
  <c r="AY27" i="11" s="1"/>
  <c r="BB27" i="11" s="1"/>
  <c r="C28" i="11" s="1"/>
  <c r="D28" i="11" l="1"/>
  <c r="E28" i="11"/>
  <c r="F28" i="11" l="1"/>
  <c r="G28" i="11" s="1"/>
  <c r="H28" i="11" s="1"/>
  <c r="I28" i="11" s="1"/>
  <c r="J28" i="11" l="1"/>
  <c r="N28" i="11" s="1"/>
  <c r="K28" i="11"/>
  <c r="L28" i="11" s="1"/>
  <c r="M28" i="11" l="1"/>
  <c r="O28" i="11" s="1"/>
  <c r="U28" i="11"/>
  <c r="T28" i="11"/>
  <c r="P28" i="11" l="1"/>
  <c r="Q28" i="11" s="1"/>
  <c r="R28" i="11" s="1"/>
  <c r="S28" i="11" s="1"/>
  <c r="X28" i="11" s="1"/>
  <c r="V28" i="11"/>
  <c r="W28" i="11"/>
  <c r="Y28" i="11" l="1"/>
  <c r="Z28" i="11" s="1"/>
  <c r="AA28" i="11" s="1"/>
  <c r="AB28" i="11" s="1"/>
  <c r="AD28" i="11"/>
  <c r="AC28" i="11"/>
  <c r="AE28" i="11" l="1"/>
  <c r="AG28" i="11"/>
  <c r="AH28" i="11"/>
  <c r="AF28" i="11"/>
  <c r="AL28" i="11" l="1"/>
  <c r="AM28" i="11"/>
  <c r="AI28" i="11"/>
  <c r="AJ28" i="11" s="1"/>
  <c r="AK28" i="11" s="1"/>
  <c r="AO28" i="11" l="1"/>
  <c r="AV28" i="11" s="1"/>
  <c r="AP28" i="11"/>
  <c r="AQ28" i="11"/>
  <c r="AN28" i="11"/>
  <c r="AU28" i="11" l="1"/>
  <c r="AW28" i="11" s="1"/>
  <c r="AR28" i="11"/>
  <c r="AS28" i="11" s="1"/>
  <c r="AT28" i="11" s="1"/>
  <c r="AZ28" i="11" s="1"/>
  <c r="AX28" i="11" l="1"/>
  <c r="BA28" i="11" s="1"/>
  <c r="AY28" i="11"/>
  <c r="BB28" i="11" l="1"/>
  <c r="C29" i="11" s="1"/>
  <c r="D29" i="11" s="1"/>
  <c r="E29" i="11" l="1"/>
  <c r="F29" i="11" s="1"/>
  <c r="G29" i="11" s="1"/>
  <c r="H29" i="11" s="1"/>
  <c r="I29" i="11" s="1"/>
  <c r="J29" i="11" l="1"/>
  <c r="N29" i="11" s="1"/>
  <c r="K29" i="11"/>
  <c r="L29" i="11" s="1"/>
  <c r="M29" i="11" l="1"/>
  <c r="P29" i="11" s="1"/>
  <c r="U29" i="11"/>
  <c r="T29" i="11"/>
  <c r="O29" i="11" l="1"/>
  <c r="Q29" i="11" s="1"/>
  <c r="R29" i="11" s="1"/>
  <c r="S29" i="11" s="1"/>
  <c r="X29" i="11" s="1"/>
  <c r="V29" i="11"/>
  <c r="W29" i="11"/>
  <c r="Y29" i="11" l="1"/>
  <c r="Z29" i="11" s="1"/>
  <c r="AA29" i="11" s="1"/>
  <c r="AB29" i="11" s="1"/>
  <c r="AD29" i="11"/>
  <c r="AC29" i="11"/>
  <c r="AE29" i="11" l="1"/>
  <c r="AH29" i="11"/>
  <c r="AG29" i="11"/>
  <c r="AF29" i="11"/>
  <c r="AI29" i="11" l="1"/>
  <c r="AJ29" i="11" s="1"/>
  <c r="AK29" i="11" s="1"/>
  <c r="AQ29" i="11" s="1"/>
  <c r="AM29" i="11"/>
  <c r="AL29" i="11"/>
  <c r="AP29" i="11" l="1"/>
  <c r="AR29" i="11" s="1"/>
  <c r="AS29" i="11" s="1"/>
  <c r="AT29" i="11" s="1"/>
  <c r="AZ29" i="11" s="1"/>
  <c r="AN29" i="11"/>
  <c r="AO29" i="11"/>
  <c r="AU29" i="11" l="1"/>
  <c r="AV29" i="11"/>
  <c r="AX29" i="11" l="1"/>
  <c r="BA29" i="11" s="1"/>
  <c r="AW29" i="11"/>
  <c r="AY29" i="11" s="1"/>
  <c r="BB29" i="11" l="1"/>
  <c r="C30" i="11" s="1"/>
  <c r="E30" i="11" s="1"/>
  <c r="D30" i="11" l="1"/>
  <c r="F30" i="11" s="1"/>
  <c r="J30" i="11" l="1"/>
  <c r="G30" i="11"/>
  <c r="H30" i="11" s="1"/>
  <c r="I30" i="11" s="1"/>
  <c r="K30" i="11" l="1"/>
  <c r="L30" i="11" s="1"/>
  <c r="M30" i="11" s="1"/>
  <c r="N30" i="11"/>
  <c r="T30" i="11" l="1"/>
  <c r="U30" i="11"/>
  <c r="O30" i="11"/>
  <c r="P30" i="11"/>
  <c r="W30" i="11" l="1"/>
  <c r="AD30" i="11" s="1"/>
  <c r="Q30" i="11"/>
  <c r="R30" i="11" s="1"/>
  <c r="S30" i="11" s="1"/>
  <c r="X30" i="11" s="1"/>
  <c r="V30" i="11"/>
  <c r="AC30" i="11" l="1"/>
  <c r="AE30" i="11" s="1"/>
  <c r="Y30" i="11"/>
  <c r="Z30" i="11" s="1"/>
  <c r="AA30" i="11" s="1"/>
  <c r="AB30" i="11" s="1"/>
  <c r="AF30" i="11" l="1"/>
  <c r="AL30" i="11" s="1"/>
  <c r="AG30" i="11"/>
  <c r="AH30" i="11"/>
  <c r="AM30" i="11" l="1"/>
  <c r="AO30" i="11" s="1"/>
  <c r="AI30" i="11"/>
  <c r="AJ30" i="11" s="1"/>
  <c r="AK30" i="11" s="1"/>
  <c r="AN30" i="11" l="1"/>
  <c r="AQ30" i="11"/>
  <c r="AP30" i="11"/>
  <c r="AV30" i="11"/>
  <c r="AU30" i="11"/>
  <c r="AW30" i="11" l="1"/>
  <c r="AR30" i="11"/>
  <c r="AS30" i="11" s="1"/>
  <c r="AT30" i="11" s="1"/>
  <c r="AZ30" i="11" s="1"/>
  <c r="AX30" i="11"/>
  <c r="BA30" i="11" s="1"/>
  <c r="AY30" i="11" l="1"/>
  <c r="BB30" i="11" s="1"/>
  <c r="C31" i="11" s="1"/>
  <c r="E31" i="11" s="1"/>
  <c r="D31" i="11" l="1"/>
  <c r="F31" i="11" s="1"/>
  <c r="J31" i="11" l="1"/>
  <c r="G31" i="11"/>
  <c r="H31" i="11" s="1"/>
  <c r="I31" i="11" s="1"/>
  <c r="K31" i="11" l="1"/>
  <c r="L31" i="11" s="1"/>
  <c r="M31" i="11" s="1"/>
  <c r="N31" i="11"/>
  <c r="U31" i="11" l="1"/>
  <c r="T31" i="11"/>
  <c r="O31" i="11"/>
  <c r="P31" i="11"/>
  <c r="V31" i="11" l="1"/>
  <c r="Q31" i="11"/>
  <c r="R31" i="11" s="1"/>
  <c r="S31" i="11" s="1"/>
  <c r="Y31" i="11" s="1"/>
  <c r="W31" i="11"/>
  <c r="X31" i="11" l="1"/>
  <c r="Z31" i="11" s="1"/>
  <c r="AA31" i="11" s="1"/>
  <c r="AB31" i="11" s="1"/>
  <c r="AG31" i="11" s="1"/>
  <c r="AD31" i="11"/>
  <c r="AC31" i="11"/>
  <c r="AE31" i="11" l="1"/>
  <c r="AH31" i="11"/>
  <c r="AI31" i="11" s="1"/>
  <c r="AJ31" i="11" s="1"/>
  <c r="AK31" i="11" s="1"/>
  <c r="AF31" i="11"/>
  <c r="AP31" i="11" l="1"/>
  <c r="AQ31" i="11"/>
  <c r="AM31" i="11"/>
  <c r="AL31" i="11"/>
  <c r="AO31" i="11" l="1"/>
  <c r="AV31" i="11" s="1"/>
  <c r="AN31" i="11"/>
  <c r="AR31" i="11"/>
  <c r="AS31" i="11" s="1"/>
  <c r="AT31" i="11" s="1"/>
  <c r="AZ31" i="11" s="1"/>
  <c r="AU31" i="11" l="1"/>
  <c r="AW31" i="11" s="1"/>
  <c r="AY31" i="11" s="1"/>
  <c r="AX31" i="11" l="1"/>
  <c r="BA31" i="11" s="1"/>
  <c r="BB31" i="11" s="1"/>
  <c r="C32" i="11" s="1"/>
  <c r="E32" i="11" s="1"/>
  <c r="D32" i="11" l="1"/>
  <c r="F32" i="11" s="1"/>
  <c r="G32" i="11" l="1"/>
  <c r="H32" i="11" s="1"/>
  <c r="I32" i="11" s="1"/>
  <c r="J32" i="11"/>
  <c r="N32" i="11" l="1"/>
  <c r="K32" i="11"/>
  <c r="L32" i="11" s="1"/>
  <c r="M32" i="11" s="1"/>
  <c r="P32" i="11" l="1"/>
  <c r="O32" i="11"/>
  <c r="T32" i="11"/>
  <c r="U32" i="11"/>
  <c r="Q32" i="11" l="1"/>
  <c r="R32" i="11" s="1"/>
  <c r="S32" i="11" s="1"/>
  <c r="X32" i="11" s="1"/>
  <c r="W32" i="11"/>
  <c r="AC32" i="11" s="1"/>
  <c r="V32" i="11"/>
  <c r="AD32" i="11" l="1"/>
  <c r="AF32" i="11" s="1"/>
  <c r="Y32" i="11"/>
  <c r="Z32" i="11" s="1"/>
  <c r="AA32" i="11" s="1"/>
  <c r="AB32" i="11" s="1"/>
  <c r="AE32" i="11" l="1"/>
  <c r="AM32" i="11"/>
  <c r="AL32" i="11"/>
  <c r="AG32" i="11"/>
  <c r="AH32" i="11"/>
  <c r="AN32" i="11" l="1"/>
  <c r="AO32" i="11"/>
  <c r="AV32" i="11" s="1"/>
  <c r="AI32" i="11"/>
  <c r="AJ32" i="11" s="1"/>
  <c r="AK32" i="11" s="1"/>
  <c r="AU32" i="11" l="1"/>
  <c r="AW32" i="11" s="1"/>
  <c r="AQ32" i="11"/>
  <c r="AP32" i="11"/>
  <c r="AX32" i="11" l="1"/>
  <c r="BA32" i="11" s="1"/>
  <c r="AR32" i="11"/>
  <c r="AS32" i="11" s="1"/>
  <c r="AT32" i="11" s="1"/>
  <c r="AZ32" i="11" s="1"/>
  <c r="AY32" i="11" l="1"/>
  <c r="BB32" i="11" s="1"/>
  <c r="C33" i="11" s="1"/>
  <c r="D33" i="11" s="1"/>
  <c r="E33" i="11" l="1"/>
  <c r="F33" i="11" s="1"/>
  <c r="J33" i="11" s="1"/>
  <c r="G33" i="11" l="1"/>
  <c r="H33" i="11" s="1"/>
  <c r="I33" i="11" s="1"/>
  <c r="K33" i="11" s="1"/>
  <c r="L33" i="11" s="1"/>
  <c r="M33" i="11" s="1"/>
  <c r="N33" i="11" l="1"/>
  <c r="T33" i="11" s="1"/>
  <c r="O33" i="11"/>
  <c r="P33" i="11"/>
  <c r="U33" i="11" l="1"/>
  <c r="W33" i="11" s="1"/>
  <c r="AC33" i="11" s="1"/>
  <c r="Q33" i="11"/>
  <c r="R33" i="11" s="1"/>
  <c r="S33" i="11" s="1"/>
  <c r="V33" i="11" l="1"/>
  <c r="AD33" i="11"/>
  <c r="AF33" i="11" s="1"/>
  <c r="AL33" i="11" s="1"/>
  <c r="Y33" i="11"/>
  <c r="X33" i="11"/>
  <c r="AE33" i="11" l="1"/>
  <c r="AM33" i="11"/>
  <c r="AO33" i="11" s="1"/>
  <c r="Z33" i="11"/>
  <c r="AA33" i="11" s="1"/>
  <c r="AB33" i="11" s="1"/>
  <c r="AV33" i="11" l="1"/>
  <c r="AU33" i="11"/>
  <c r="AN33" i="11"/>
  <c r="AH33" i="11"/>
  <c r="AG33" i="11"/>
  <c r="AW33" i="11" l="1"/>
  <c r="AX33" i="11"/>
  <c r="BA33" i="11" s="1"/>
  <c r="AI33" i="11"/>
  <c r="AJ33" i="11" s="1"/>
  <c r="AK33" i="11" s="1"/>
  <c r="AQ33" i="11" s="1"/>
  <c r="AP33" i="11" l="1"/>
  <c r="AR33" i="11" s="1"/>
  <c r="AS33" i="11" l="1"/>
  <c r="AT33" i="11" s="1"/>
  <c r="AZ33" i="11" s="1"/>
  <c r="AY33" i="11"/>
  <c r="BB33" i="11" s="1"/>
  <c r="C34" i="11" s="1"/>
  <c r="E34" i="11" s="1"/>
  <c r="D34" i="11" l="1"/>
  <c r="F34" i="11" s="1"/>
  <c r="J34" i="11" l="1"/>
  <c r="G34" i="11"/>
  <c r="H34" i="11" s="1"/>
  <c r="I34" i="11" s="1"/>
  <c r="K34" i="11" l="1"/>
  <c r="L34" i="11" s="1"/>
  <c r="M34" i="11" s="1"/>
  <c r="N34" i="11"/>
  <c r="U34" i="11" l="1"/>
  <c r="T34" i="11"/>
  <c r="P34" i="11"/>
  <c r="O34" i="11"/>
  <c r="V34" i="11" l="1"/>
  <c r="Q34" i="11"/>
  <c r="R34" i="11" s="1"/>
  <c r="S34" i="11" s="1"/>
  <c r="Y34" i="11" s="1"/>
  <c r="W34" i="11"/>
  <c r="X34" i="11" l="1"/>
  <c r="Z34" i="11" s="1"/>
  <c r="AA34" i="11" s="1"/>
  <c r="AB34" i="11" s="1"/>
  <c r="AD34" i="11"/>
  <c r="AC34" i="11"/>
  <c r="AE34" i="11" l="1"/>
  <c r="AG34" i="11"/>
  <c r="AH34" i="11"/>
  <c r="AF34" i="11"/>
  <c r="AI34" i="11" l="1"/>
  <c r="AJ34" i="11" s="1"/>
  <c r="AK34" i="11" s="1"/>
  <c r="AQ34" i="11" s="1"/>
  <c r="AM34" i="11"/>
  <c r="AL34" i="11"/>
  <c r="AP34" i="11" l="1"/>
  <c r="AR34" i="11" s="1"/>
  <c r="AS34" i="11" s="1"/>
  <c r="AT34" i="11" s="1"/>
  <c r="AZ34" i="11" s="1"/>
  <c r="AN34" i="11"/>
  <c r="AO34" i="11"/>
  <c r="AU34" i="11" l="1"/>
  <c r="AV34" i="11"/>
  <c r="AX34" i="11" l="1"/>
  <c r="BA34" i="11" s="1"/>
  <c r="AW34" i="11"/>
  <c r="AY34" i="11" s="1"/>
  <c r="BB34" i="11" l="1"/>
  <c r="C35" i="11" s="1"/>
  <c r="E35" i="11" s="1"/>
  <c r="D35" i="11" l="1"/>
  <c r="F35" i="11" s="1"/>
  <c r="G35" i="11" l="1"/>
  <c r="H35" i="11" s="1"/>
  <c r="I35" i="11" s="1"/>
  <c r="J35" i="11"/>
  <c r="N35" i="11" l="1"/>
  <c r="K35" i="11"/>
  <c r="L35" i="11" s="1"/>
  <c r="M35" i="11" s="1"/>
  <c r="O35" i="11" l="1"/>
  <c r="P35" i="11"/>
  <c r="U35" i="11"/>
  <c r="T35" i="11"/>
  <c r="W35" i="11" l="1"/>
  <c r="AC35" i="11" s="1"/>
  <c r="V35" i="11"/>
  <c r="Q35" i="11"/>
  <c r="R35" i="11" s="1"/>
  <c r="S35" i="11" s="1"/>
  <c r="AD35" i="11" l="1"/>
  <c r="AF35" i="11" s="1"/>
  <c r="X35" i="11"/>
  <c r="Y35" i="11"/>
  <c r="AE35" i="11" l="1"/>
  <c r="AM35" i="11"/>
  <c r="AL35" i="11"/>
  <c r="Z35" i="11"/>
  <c r="AA35" i="11" s="1"/>
  <c r="AB35" i="11" s="1"/>
  <c r="AO35" i="11" l="1"/>
  <c r="AU35" i="11" s="1"/>
  <c r="AN35" i="11"/>
  <c r="AG35" i="11"/>
  <c r="AH35" i="11"/>
  <c r="AV35" i="11" l="1"/>
  <c r="AX35" i="11" s="1"/>
  <c r="BA35" i="11" s="1"/>
  <c r="AI35" i="11"/>
  <c r="AJ35" i="11" s="1"/>
  <c r="AK35" i="11" s="1"/>
  <c r="AW35" i="11" l="1"/>
  <c r="AQ35" i="11"/>
  <c r="AP35" i="11"/>
  <c r="AR35" i="11" l="1"/>
  <c r="AS35" i="11" s="1"/>
  <c r="AT35" i="11" s="1"/>
  <c r="AZ35" i="11" s="1"/>
  <c r="AY35" i="11" l="1"/>
  <c r="BB35" i="11" s="1"/>
  <c r="C36" i="11" s="1"/>
  <c r="E36" i="11" s="1"/>
  <c r="D36" i="11" l="1"/>
  <c r="F36" i="11" s="1"/>
  <c r="G36" i="11" l="1"/>
  <c r="H36" i="11" s="1"/>
  <c r="I36" i="11" s="1"/>
  <c r="J36" i="11"/>
  <c r="N36" i="11" l="1"/>
  <c r="K36" i="11"/>
  <c r="L36" i="11" s="1"/>
  <c r="M36" i="11" s="1"/>
  <c r="O36" i="11" l="1"/>
  <c r="P36" i="11"/>
  <c r="U36" i="11"/>
  <c r="T36" i="11"/>
  <c r="V36" i="11" l="1"/>
  <c r="W36" i="11"/>
  <c r="Q36" i="11"/>
  <c r="R36" i="11" s="1"/>
  <c r="S36" i="11" s="1"/>
  <c r="Y36" i="11" l="1"/>
  <c r="X36" i="11"/>
  <c r="AC36" i="11"/>
  <c r="AD36" i="11"/>
  <c r="AF36" i="11" l="1"/>
  <c r="AL36" i="11" s="1"/>
  <c r="Z36" i="11"/>
  <c r="AA36" i="11" s="1"/>
  <c r="AB36" i="11" s="1"/>
  <c r="AG36" i="11" s="1"/>
  <c r="AE36" i="11"/>
  <c r="AM36" i="11" l="1"/>
  <c r="AN36" i="11" s="1"/>
  <c r="AH36" i="11"/>
  <c r="AI36" i="11" s="1"/>
  <c r="AJ36" i="11" s="1"/>
  <c r="AK36" i="11" s="1"/>
  <c r="AP36" i="11" s="1"/>
  <c r="AO36" i="11" l="1"/>
  <c r="AV36" i="11" s="1"/>
  <c r="AQ36" i="11"/>
  <c r="AR36" i="11" s="1"/>
  <c r="AS36" i="11" s="1"/>
  <c r="AT36" i="11" s="1"/>
  <c r="AZ36" i="11" s="1"/>
  <c r="AU36" i="11" l="1"/>
  <c r="AW36" i="11" s="1"/>
  <c r="AY36" i="11" s="1"/>
  <c r="AX36" i="11" l="1"/>
  <c r="BA36" i="11" s="1"/>
  <c r="BB36" i="11" s="1"/>
  <c r="C37" i="11" s="1"/>
  <c r="D37" i="11" s="1"/>
  <c r="E37" i="11" l="1"/>
  <c r="F37" i="11" s="1"/>
  <c r="J37" i="11" s="1"/>
  <c r="G37" i="11" l="1"/>
  <c r="H37" i="11" s="1"/>
  <c r="I37" i="11" s="1"/>
  <c r="K37" i="11" s="1"/>
  <c r="L37" i="11" s="1"/>
  <c r="M37" i="11" s="1"/>
  <c r="N37" i="11" l="1"/>
  <c r="U37" i="11" s="1"/>
  <c r="O37" i="11"/>
  <c r="P37" i="11"/>
  <c r="T37" i="11" l="1"/>
  <c r="V37" i="11" s="1"/>
  <c r="Q37" i="11"/>
  <c r="R37" i="11" s="1"/>
  <c r="S37" i="11" s="1"/>
  <c r="Y37" i="11" s="1"/>
  <c r="W37" i="11" l="1"/>
  <c r="AC37" i="11" s="1"/>
  <c r="X37" i="11"/>
  <c r="Z37" i="11" s="1"/>
  <c r="AA37" i="11" s="1"/>
  <c r="AB37" i="11" s="1"/>
  <c r="AG37" i="11" s="1"/>
  <c r="AD37" i="11" l="1"/>
  <c r="AE37" i="11" s="1"/>
  <c r="AH37" i="11"/>
  <c r="AI37" i="11" s="1"/>
  <c r="AJ37" i="11" s="1"/>
  <c r="AK37" i="11" s="1"/>
  <c r="AF37" i="11" l="1"/>
  <c r="AL37" i="11" s="1"/>
  <c r="AQ37" i="11"/>
  <c r="AP37" i="11"/>
  <c r="AM37" i="11" l="1"/>
  <c r="AO37" i="11" s="1"/>
  <c r="AU37" i="11" s="1"/>
  <c r="AR37" i="11"/>
  <c r="AS37" i="11" s="1"/>
  <c r="AT37" i="11" s="1"/>
  <c r="AZ37" i="11" s="1"/>
  <c r="AN37" i="11" l="1"/>
  <c r="AV37" i="11"/>
  <c r="AX37" i="11" s="1"/>
  <c r="BA37" i="11" s="1"/>
  <c r="AW37" i="11" l="1"/>
  <c r="AY37" i="11" s="1"/>
  <c r="BB37" i="11" s="1"/>
  <c r="C38" i="11" s="1"/>
  <c r="E38" i="11" s="1"/>
  <c r="D38" i="11" l="1"/>
  <c r="F38" i="11" s="1"/>
  <c r="G38" i="11" s="1"/>
  <c r="H38" i="11" s="1"/>
  <c r="I38" i="11" s="1"/>
  <c r="J38" i="11" l="1"/>
  <c r="N38" i="11" s="1"/>
  <c r="K38" i="11"/>
  <c r="L38" i="11" s="1"/>
  <c r="M38" i="11" l="1"/>
  <c r="P38" i="11" s="1"/>
  <c r="U38" i="11"/>
  <c r="T38" i="11"/>
  <c r="O38" i="11" l="1"/>
  <c r="Q38" i="11" s="1"/>
  <c r="R38" i="11" s="1"/>
  <c r="S38" i="11" s="1"/>
  <c r="W38" i="11"/>
  <c r="AC38" i="11" s="1"/>
  <c r="V38" i="11"/>
  <c r="AD38" i="11" l="1"/>
  <c r="AE38" i="11" s="1"/>
  <c r="X38" i="11"/>
  <c r="Y38" i="11"/>
  <c r="AF38" i="11" l="1"/>
  <c r="AL38" i="11" s="1"/>
  <c r="Z38" i="11"/>
  <c r="AA38" i="11" s="1"/>
  <c r="AB38" i="11" s="1"/>
  <c r="AM38" i="11" l="1"/>
  <c r="AG38" i="11"/>
  <c r="AH38" i="11"/>
  <c r="AN38" i="11" l="1"/>
  <c r="AO38" i="11"/>
  <c r="AI38" i="11"/>
  <c r="AJ38" i="11" s="1"/>
  <c r="AK38" i="11" s="1"/>
  <c r="AU38" i="11" l="1"/>
  <c r="AV38" i="11"/>
  <c r="AQ38" i="11"/>
  <c r="AP38" i="11"/>
  <c r="AR38" i="11" l="1"/>
  <c r="AS38" i="11" s="1"/>
  <c r="AT38" i="11" s="1"/>
  <c r="AZ38" i="11" s="1"/>
  <c r="AW38" i="11"/>
  <c r="AX38" i="11"/>
  <c r="BA38" i="11" s="1"/>
  <c r="AY38" i="11" l="1"/>
  <c r="BB38" i="11" s="1"/>
  <c r="C39" i="11" s="1"/>
  <c r="E39" i="11" s="1"/>
  <c r="D39" i="11" l="1"/>
  <c r="F39" i="11" s="1"/>
  <c r="J39" i="11" s="1"/>
  <c r="G39" i="11" l="1"/>
  <c r="H39" i="11" s="1"/>
  <c r="I39" i="11" s="1"/>
  <c r="K39" i="11" s="1"/>
  <c r="L39" i="11" s="1"/>
  <c r="M39" i="11" s="1"/>
  <c r="N39" i="11" l="1"/>
  <c r="U39" i="11" s="1"/>
  <c r="P39" i="11"/>
  <c r="O39" i="11"/>
  <c r="T39" i="11" l="1"/>
  <c r="V39" i="11" s="1"/>
  <c r="Q39" i="11"/>
  <c r="R39" i="11" s="1"/>
  <c r="S39" i="11" s="1"/>
  <c r="Y39" i="11" s="1"/>
  <c r="W39" i="11" l="1"/>
  <c r="AD39" i="11" s="1"/>
  <c r="X39" i="11"/>
  <c r="Z39" i="11" s="1"/>
  <c r="AA39" i="11" s="1"/>
  <c r="AB39" i="11" s="1"/>
  <c r="AH39" i="11" s="1"/>
  <c r="AC39" i="11" l="1"/>
  <c r="AE39" i="11" s="1"/>
  <c r="AG39" i="11"/>
  <c r="AI39" i="11" s="1"/>
  <c r="AJ39" i="11" s="1"/>
  <c r="AK39" i="11" s="1"/>
  <c r="AF39" i="11" l="1"/>
  <c r="AM39" i="11" s="1"/>
  <c r="AP39" i="11"/>
  <c r="AQ39" i="11"/>
  <c r="AL39" i="11" l="1"/>
  <c r="AN39" i="11" s="1"/>
  <c r="AR39" i="11"/>
  <c r="AS39" i="11" s="1"/>
  <c r="AT39" i="11" s="1"/>
  <c r="AZ39" i="11" s="1"/>
  <c r="AO39" i="11" l="1"/>
  <c r="AU39" i="11" s="1"/>
  <c r="AV39" i="11" l="1"/>
  <c r="AX39" i="11" s="1"/>
  <c r="BA39" i="11" s="1"/>
  <c r="AW39" i="11" l="1"/>
  <c r="AY39" i="11" s="1"/>
  <c r="BB39" i="11" s="1"/>
  <c r="C40" i="11" s="1"/>
  <c r="D40" i="11" s="1"/>
  <c r="E40" i="11" l="1"/>
  <c r="F40" i="11" s="1"/>
  <c r="J40" i="11" s="1"/>
  <c r="G40" i="11" l="1"/>
  <c r="H40" i="11" s="1"/>
  <c r="I40" i="11" s="1"/>
  <c r="K40" i="11" s="1"/>
  <c r="L40" i="11" s="1"/>
  <c r="M40" i="11" s="1"/>
  <c r="O40" i="11" s="1"/>
  <c r="N40" i="11" l="1"/>
  <c r="T40" i="11" s="1"/>
  <c r="P40" i="11"/>
  <c r="Q40" i="11" s="1"/>
  <c r="R40" i="11" s="1"/>
  <c r="S40" i="11" s="1"/>
  <c r="U40" i="11" l="1"/>
  <c r="V40" i="11" s="1"/>
  <c r="X40" i="11"/>
  <c r="Y40" i="11"/>
  <c r="W40" i="11" l="1"/>
  <c r="AD40" i="11" s="1"/>
  <c r="Z40" i="11"/>
  <c r="AA40" i="11" s="1"/>
  <c r="AB40" i="11" s="1"/>
  <c r="AG40" i="11" s="1"/>
  <c r="AH40" i="11" l="1"/>
  <c r="AI40" i="11" s="1"/>
  <c r="AJ40" i="11" s="1"/>
  <c r="AK40" i="11" s="1"/>
  <c r="AQ40" i="11" s="1"/>
  <c r="AC40" i="11"/>
  <c r="AE40" i="11" s="1"/>
  <c r="AP40" i="11" l="1"/>
  <c r="AR40" i="11" s="1"/>
  <c r="AS40" i="11" s="1"/>
  <c r="AT40" i="11" s="1"/>
  <c r="AZ40" i="11" s="1"/>
  <c r="AF40" i="11"/>
  <c r="AM40" i="11" s="1"/>
  <c r="AL40" i="11" l="1"/>
  <c r="AO40" i="11" s="1"/>
  <c r="AN40" i="11" l="1"/>
  <c r="AV40" i="11"/>
  <c r="AU40" i="11"/>
  <c r="AW40" i="11" l="1"/>
  <c r="AY40" i="11" s="1"/>
  <c r="AX40" i="11"/>
  <c r="BA40" i="11" s="1"/>
  <c r="BB40" i="11" s="1"/>
  <c r="C41" i="11" s="1"/>
  <c r="D41" i="11" s="1"/>
  <c r="E41" i="11" l="1"/>
  <c r="F41" i="11" s="1"/>
  <c r="G41" i="11" s="1"/>
  <c r="H41" i="11" s="1"/>
  <c r="I41" i="11" s="1"/>
  <c r="K41" i="11" s="1"/>
  <c r="L41" i="11" s="1"/>
  <c r="J41" i="11" l="1"/>
  <c r="N41" i="11" s="1"/>
  <c r="T41" i="11" s="1"/>
  <c r="M41" i="11" l="1"/>
  <c r="O41" i="11" s="1"/>
  <c r="U41" i="11"/>
  <c r="V41" i="11" s="1"/>
  <c r="P41" i="11" l="1"/>
  <c r="Q41" i="11" s="1"/>
  <c r="R41" i="11" s="1"/>
  <c r="S41" i="11" s="1"/>
  <c r="W41" i="11"/>
  <c r="AD41" i="11" s="1"/>
  <c r="AC41" i="11" l="1"/>
  <c r="Y41" i="11"/>
  <c r="X41" i="11"/>
  <c r="AF41" i="11" l="1"/>
  <c r="AE41" i="11"/>
  <c r="Z41" i="11"/>
  <c r="AA41" i="11" s="1"/>
  <c r="AB41" i="11" s="1"/>
  <c r="AG41" i="11" s="1"/>
  <c r="AM41" i="11" l="1"/>
  <c r="AL41" i="11"/>
  <c r="AH41" i="11"/>
  <c r="AI41" i="11" s="1"/>
  <c r="AJ41" i="11" s="1"/>
  <c r="AK41" i="11" s="1"/>
  <c r="AP41" i="11" s="1"/>
  <c r="AN41" i="11" l="1"/>
  <c r="AO41" i="11"/>
  <c r="AQ41" i="11"/>
  <c r="AR41" i="11" s="1"/>
  <c r="AS41" i="11" s="1"/>
  <c r="AT41" i="11" s="1"/>
  <c r="AZ41" i="11" s="1"/>
  <c r="AV41" i="11" l="1"/>
  <c r="AU41" i="11"/>
  <c r="AW41" i="11" l="1"/>
  <c r="AY41" i="11" s="1"/>
  <c r="AX41" i="11"/>
  <c r="BA41" i="11" s="1"/>
  <c r="BB41" i="11" l="1"/>
  <c r="C42" i="11" s="1"/>
  <c r="E42" i="11" s="1"/>
  <c r="D42" i="11" l="1"/>
  <c r="F42" i="11" s="1"/>
  <c r="J42" i="11" s="1"/>
  <c r="G42" i="11" l="1"/>
  <c r="H42" i="11" s="1"/>
  <c r="I42" i="11" s="1"/>
  <c r="N42" i="11" s="1"/>
  <c r="T42" i="11" s="1"/>
  <c r="U42" i="11" l="1"/>
  <c r="V42" i="11" s="1"/>
  <c r="K42" i="11"/>
  <c r="L42" i="11" s="1"/>
  <c r="M42" i="11" s="1"/>
  <c r="O42" i="11" s="1"/>
  <c r="W42" i="11" l="1"/>
  <c r="AC42" i="11" s="1"/>
  <c r="P42" i="11"/>
  <c r="Q42" i="11" s="1"/>
  <c r="R42" i="11" s="1"/>
  <c r="S42" i="11" s="1"/>
  <c r="AD42" i="11" l="1"/>
  <c r="AE42" i="11" s="1"/>
  <c r="X42" i="11"/>
  <c r="Y42" i="11"/>
  <c r="AF42" i="11" l="1"/>
  <c r="AL42" i="11" s="1"/>
  <c r="Z42" i="11"/>
  <c r="AA42" i="11" s="1"/>
  <c r="AB42" i="11" s="1"/>
  <c r="AH42" i="11" s="1"/>
  <c r="AM42" i="11" l="1"/>
  <c r="AG42" i="11"/>
  <c r="AI42" i="11" s="1"/>
  <c r="AJ42" i="11" s="1"/>
  <c r="AK42" i="11" s="1"/>
  <c r="AP42" i="11" s="1"/>
  <c r="AN42" i="11"/>
  <c r="AO42" i="11"/>
  <c r="AQ42" i="11" l="1"/>
  <c r="AR42" i="11" s="1"/>
  <c r="AS42" i="11" s="1"/>
  <c r="AT42" i="11" s="1"/>
  <c r="AZ42" i="11" s="1"/>
  <c r="AU42" i="11"/>
  <c r="AV42" i="11"/>
  <c r="AX42" i="11" l="1"/>
  <c r="BA42" i="11" s="1"/>
  <c r="AW42" i="11"/>
  <c r="AY42" i="11" s="1"/>
  <c r="BB42" i="11" l="1"/>
  <c r="C43" i="11" s="1"/>
  <c r="E43" i="11" s="1"/>
  <c r="D43" i="11" l="1"/>
  <c r="F43" i="11" s="1"/>
  <c r="J43" i="11" l="1"/>
  <c r="G43" i="11"/>
  <c r="H43" i="11" s="1"/>
  <c r="I43" i="11" s="1"/>
  <c r="K43" i="11" l="1"/>
  <c r="L43" i="11" s="1"/>
  <c r="M43" i="11" s="1"/>
  <c r="N43" i="11"/>
  <c r="T43" i="11" l="1"/>
  <c r="U43" i="11"/>
  <c r="O43" i="11"/>
  <c r="P43" i="11"/>
  <c r="W43" i="11" l="1"/>
  <c r="AD43" i="11" s="1"/>
  <c r="Q43" i="11"/>
  <c r="R43" i="11" s="1"/>
  <c r="S43" i="11" s="1"/>
  <c r="Y43" i="11" s="1"/>
  <c r="V43" i="11"/>
  <c r="AC43" i="11" l="1"/>
  <c r="AE43" i="11" s="1"/>
  <c r="X43" i="11"/>
  <c r="Z43" i="11" s="1"/>
  <c r="AA43" i="11" s="1"/>
  <c r="AB43" i="11" s="1"/>
  <c r="AF43" i="11" l="1"/>
  <c r="AM43" i="11" s="1"/>
  <c r="AG43" i="11"/>
  <c r="AH43" i="11"/>
  <c r="AL43" i="11" l="1"/>
  <c r="AI43" i="11"/>
  <c r="AJ43" i="11" s="1"/>
  <c r="AK43" i="11" s="1"/>
  <c r="AN43" i="11" l="1"/>
  <c r="AO43" i="11"/>
  <c r="AQ43" i="11"/>
  <c r="AP43" i="11"/>
  <c r="AU43" i="11" l="1"/>
  <c r="AV43" i="11"/>
  <c r="AR43" i="11"/>
  <c r="AS43" i="11" s="1"/>
  <c r="AT43" i="11" s="1"/>
  <c r="AZ43" i="11" s="1"/>
  <c r="AX43" i="11" l="1"/>
  <c r="BA43" i="11" s="1"/>
  <c r="AW43" i="11"/>
  <c r="AY43" i="11" s="1"/>
  <c r="BB43" i="11" l="1"/>
  <c r="C44" i="11" s="1"/>
  <c r="E44" i="11" s="1"/>
  <c r="D44" i="11" l="1"/>
  <c r="F44" i="11" s="1"/>
  <c r="J44" i="11" l="1"/>
  <c r="G44" i="11"/>
  <c r="H44" i="11" s="1"/>
  <c r="I44" i="11" s="1"/>
  <c r="K44" i="11" s="1"/>
  <c r="L44" i="11" s="1"/>
  <c r="M44" i="11" l="1"/>
  <c r="O44" i="11" s="1"/>
  <c r="N44" i="11"/>
  <c r="P44" i="11" l="1"/>
  <c r="Q44" i="11" s="1"/>
  <c r="R44" i="11" s="1"/>
  <c r="S44" i="11" s="1"/>
  <c r="Y44" i="11" s="1"/>
  <c r="T44" i="11"/>
  <c r="U44" i="11"/>
  <c r="X44" i="11" l="1"/>
  <c r="Z44" i="11" s="1"/>
  <c r="AA44" i="11" s="1"/>
  <c r="AB44" i="11" s="1"/>
  <c r="AH44" i="11" s="1"/>
  <c r="W44" i="11"/>
  <c r="AD44" i="11" s="1"/>
  <c r="V44" i="11"/>
  <c r="AG44" i="11" l="1"/>
  <c r="AI44" i="11" s="1"/>
  <c r="AJ44" i="11" s="1"/>
  <c r="AK44" i="11" s="1"/>
  <c r="AC44" i="11"/>
  <c r="AE44" i="11" s="1"/>
  <c r="AF44" i="11" l="1"/>
  <c r="AL44" i="11" s="1"/>
  <c r="AQ44" i="11"/>
  <c r="AP44" i="11"/>
  <c r="AM44" i="11" l="1"/>
  <c r="AO44" i="11" s="1"/>
  <c r="AV44" i="11" s="1"/>
  <c r="AR44" i="11"/>
  <c r="AS44" i="11" s="1"/>
  <c r="AT44" i="11" s="1"/>
  <c r="AZ44" i="11" s="1"/>
  <c r="AN44" i="11" l="1"/>
  <c r="AU44" i="11"/>
  <c r="AW44" i="11" s="1"/>
  <c r="AY44" i="11" s="1"/>
  <c r="AX44" i="11" l="1"/>
  <c r="BA44" i="11" s="1"/>
  <c r="BB44" i="11" s="1"/>
  <c r="C45" i="11" s="1"/>
  <c r="D45" i="11" s="1"/>
  <c r="E45" i="11" l="1"/>
  <c r="F45" i="11" s="1"/>
  <c r="J45" i="11" l="1"/>
  <c r="G45" i="11"/>
  <c r="H45" i="11" s="1"/>
  <c r="I45" i="11" s="1"/>
  <c r="K45" i="11" l="1"/>
  <c r="L45" i="11" s="1"/>
  <c r="M45" i="11" s="1"/>
  <c r="N45" i="11"/>
  <c r="T45" i="11" l="1"/>
  <c r="U45" i="11"/>
  <c r="P45" i="11"/>
  <c r="O45" i="11"/>
  <c r="W45" i="11" l="1"/>
  <c r="AD45" i="11" s="1"/>
  <c r="Q45" i="11"/>
  <c r="R45" i="11" s="1"/>
  <c r="S45" i="11" s="1"/>
  <c r="V45" i="11"/>
  <c r="AC45" i="11" l="1"/>
  <c r="AE45" i="11" s="1"/>
  <c r="X45" i="11"/>
  <c r="Y45" i="11"/>
  <c r="AF45" i="11" l="1"/>
  <c r="AM45" i="11" s="1"/>
  <c r="Z45" i="11"/>
  <c r="AA45" i="11" s="1"/>
  <c r="AB45" i="11" s="1"/>
  <c r="AL45" i="11" l="1"/>
  <c r="AN45" i="11" s="1"/>
  <c r="AG45" i="11"/>
  <c r="AH45" i="11"/>
  <c r="AO45" i="11" l="1"/>
  <c r="AU45" i="11" s="1"/>
  <c r="AI45" i="11"/>
  <c r="AJ45" i="11" s="1"/>
  <c r="AK45" i="11" s="1"/>
  <c r="AV45" i="11" l="1"/>
  <c r="AX45" i="11" s="1"/>
  <c r="BA45" i="11" s="1"/>
  <c r="AP45" i="11"/>
  <c r="AQ45" i="11"/>
  <c r="AW45" i="11" l="1"/>
  <c r="AR45" i="11"/>
  <c r="AS45" i="11" s="1"/>
  <c r="AT45" i="11" s="1"/>
  <c r="AZ45" i="11" s="1"/>
  <c r="AY45" i="11" l="1"/>
  <c r="BB45" i="11" s="1"/>
  <c r="C46" i="11" s="1"/>
  <c r="E46" i="11" l="1"/>
  <c r="D46" i="11"/>
  <c r="F46" i="11" l="1"/>
  <c r="J46" i="11" l="1"/>
  <c r="G46" i="11"/>
  <c r="H46" i="11" s="1"/>
  <c r="I46" i="11" s="1"/>
  <c r="K46" i="11" l="1"/>
  <c r="L46" i="11" s="1"/>
  <c r="M46" i="11" s="1"/>
  <c r="N46" i="11"/>
  <c r="U46" i="11" l="1"/>
  <c r="T46" i="11"/>
  <c r="O46" i="11"/>
  <c r="P46" i="11"/>
  <c r="Q46" i="11" l="1"/>
  <c r="R46" i="11" s="1"/>
  <c r="S46" i="11" s="1"/>
  <c r="Y46" i="11" s="1"/>
  <c r="W46" i="11"/>
  <c r="AD46" i="11" s="1"/>
  <c r="V46" i="11"/>
  <c r="AC46" i="11" l="1"/>
  <c r="AF46" i="11" s="1"/>
  <c r="AM46" i="11" s="1"/>
  <c r="X46" i="11"/>
  <c r="Z46" i="11" s="1"/>
  <c r="AA46" i="11" s="1"/>
  <c r="AB46" i="11" s="1"/>
  <c r="AE46" i="11" l="1"/>
  <c r="AL46" i="11"/>
  <c r="AO46" i="11" s="1"/>
  <c r="AU46" i="11" s="1"/>
  <c r="AG46" i="11"/>
  <c r="AH46" i="11"/>
  <c r="AN46" i="11" l="1"/>
  <c r="AV46" i="11"/>
  <c r="AX46" i="11" s="1"/>
  <c r="BA46" i="11" s="1"/>
  <c r="AI46" i="11"/>
  <c r="AJ46" i="11" s="1"/>
  <c r="AK46" i="11" s="1"/>
  <c r="AQ46" i="11" s="1"/>
  <c r="AP46" i="11" l="1"/>
  <c r="AR46" i="11" s="1"/>
  <c r="AW46" i="11"/>
  <c r="AS46" i="11" l="1"/>
  <c r="AT46" i="11" s="1"/>
  <c r="AZ46" i="11" s="1"/>
  <c r="AY46" i="11"/>
  <c r="BB46" i="11" s="1"/>
  <c r="C47" i="11" s="1"/>
  <c r="D47" i="11" s="1"/>
  <c r="E47" i="11" l="1"/>
  <c r="F47" i="11" s="1"/>
  <c r="J47" i="11" s="1"/>
  <c r="G47" i="11" l="1"/>
  <c r="H47" i="11" s="1"/>
  <c r="I47" i="11" s="1"/>
  <c r="K47" i="11" s="1"/>
  <c r="L47" i="11" s="1"/>
  <c r="M47" i="11" s="1"/>
  <c r="N47" i="11" l="1"/>
  <c r="T47" i="11" s="1"/>
  <c r="O47" i="11"/>
  <c r="P47" i="11"/>
  <c r="U47" i="11" l="1"/>
  <c r="V47" i="11" s="1"/>
  <c r="Q47" i="11"/>
  <c r="R47" i="11" s="1"/>
  <c r="S47" i="11" s="1"/>
  <c r="Y47" i="11" s="1"/>
  <c r="W47" i="11" l="1"/>
  <c r="AD47" i="11" s="1"/>
  <c r="X47" i="11"/>
  <c r="Z47" i="11" s="1"/>
  <c r="AA47" i="11" s="1"/>
  <c r="AB47" i="11" s="1"/>
  <c r="AG47" i="11" s="1"/>
  <c r="AC47" i="11" l="1"/>
  <c r="AF47" i="11" s="1"/>
  <c r="AL47" i="11" s="1"/>
  <c r="AH47" i="11"/>
  <c r="AI47" i="11" s="1"/>
  <c r="AJ47" i="11" s="1"/>
  <c r="AK47" i="11" s="1"/>
  <c r="AE47" i="11" l="1"/>
  <c r="AM47" i="11"/>
  <c r="AO47" i="11" s="1"/>
  <c r="AV47" i="11" s="1"/>
  <c r="AP47" i="11"/>
  <c r="AQ47" i="11"/>
  <c r="AU47" i="11" l="1"/>
  <c r="AW47" i="11" s="1"/>
  <c r="AN47" i="11"/>
  <c r="AR47" i="11"/>
  <c r="AS47" i="11" s="1"/>
  <c r="AT47" i="11" s="1"/>
  <c r="AZ47" i="11" s="1"/>
  <c r="AX47" i="11" l="1"/>
  <c r="BA47" i="11" s="1"/>
  <c r="AY47" i="11"/>
  <c r="BB47" i="11" l="1"/>
  <c r="C48" i="11" s="1"/>
  <c r="E48" i="11" s="1"/>
  <c r="D48" i="11" l="1"/>
  <c r="F48" i="11" s="1"/>
  <c r="J48" i="11" l="1"/>
  <c r="G48" i="11"/>
  <c r="H48" i="11" s="1"/>
  <c r="I48" i="11" s="1"/>
  <c r="K48" i="11" l="1"/>
  <c r="L48" i="11" s="1"/>
  <c r="M48" i="11" s="1"/>
  <c r="N48" i="11"/>
  <c r="O48" i="11" l="1"/>
  <c r="P48" i="11"/>
  <c r="T48" i="11"/>
  <c r="U48" i="11"/>
  <c r="V48" i="11" l="1"/>
  <c r="W48" i="11"/>
  <c r="Q48" i="11"/>
  <c r="R48" i="11" s="1"/>
  <c r="S48" i="11" s="1"/>
  <c r="AC48" i="11" l="1"/>
  <c r="AD48" i="11"/>
  <c r="Y48" i="11"/>
  <c r="X48" i="11"/>
  <c r="AF48" i="11" l="1"/>
  <c r="AL48" i="11" s="1"/>
  <c r="Z48" i="11"/>
  <c r="AA48" i="11" s="1"/>
  <c r="AB48" i="11" s="1"/>
  <c r="AE48" i="11"/>
  <c r="AM48" i="11" l="1"/>
  <c r="AO48" i="11" s="1"/>
  <c r="AV48" i="11" s="1"/>
  <c r="AH48" i="11"/>
  <c r="AG48" i="11"/>
  <c r="AN48" i="11" l="1"/>
  <c r="AU48" i="11"/>
  <c r="AW48" i="11" s="1"/>
  <c r="AI48" i="11"/>
  <c r="AJ48" i="11" s="1"/>
  <c r="AK48" i="11" s="1"/>
  <c r="AX48" i="11" l="1"/>
  <c r="BA48" i="11" s="1"/>
  <c r="AQ48" i="11"/>
  <c r="AP48" i="11"/>
  <c r="AR48" i="11" l="1"/>
  <c r="AS48" i="11" l="1"/>
  <c r="AT48" i="11" s="1"/>
  <c r="AZ48" i="11" s="1"/>
  <c r="AY48" i="11"/>
  <c r="BB48" i="11" s="1"/>
  <c r="C49" i="11" s="1"/>
  <c r="E49" i="11" l="1"/>
  <c r="D49" i="11"/>
  <c r="F49" i="11" l="1"/>
  <c r="J49" i="11" l="1"/>
  <c r="G49" i="11"/>
  <c r="H49" i="11" s="1"/>
  <c r="I49" i="11" s="1"/>
  <c r="K49" i="11" l="1"/>
  <c r="L49" i="11" s="1"/>
  <c r="M49" i="11" s="1"/>
  <c r="N49" i="11"/>
  <c r="T49" i="11" l="1"/>
  <c r="U49" i="11"/>
  <c r="P49" i="11"/>
  <c r="O49" i="11"/>
  <c r="Q49" i="11" l="1"/>
  <c r="R49" i="11" s="1"/>
  <c r="S49" i="11" s="1"/>
  <c r="X49" i="11" s="1"/>
  <c r="W49" i="11"/>
  <c r="AD49" i="11" s="1"/>
  <c r="V49" i="11"/>
  <c r="Y49" i="11" l="1"/>
  <c r="Z49" i="11" s="1"/>
  <c r="AA49" i="11" s="1"/>
  <c r="AB49" i="11" s="1"/>
  <c r="AC49" i="11"/>
  <c r="AF49" i="11" s="1"/>
  <c r="AM49" i="11" l="1"/>
  <c r="AL49" i="11"/>
  <c r="AE49" i="11"/>
  <c r="AG49" i="11"/>
  <c r="AH49" i="11"/>
  <c r="AO49" i="11" l="1"/>
  <c r="AV49" i="11" s="1"/>
  <c r="AN49" i="11"/>
  <c r="AI49" i="11"/>
  <c r="AJ49" i="11" s="1"/>
  <c r="AK49" i="11" s="1"/>
  <c r="AU49" i="11" l="1"/>
  <c r="AW49" i="11" s="1"/>
  <c r="AP49" i="11"/>
  <c r="AQ49" i="11"/>
  <c r="AX49" i="11" l="1"/>
  <c r="BA49" i="11" s="1"/>
  <c r="AR49" i="11"/>
  <c r="AS49" i="11" l="1"/>
  <c r="AT49" i="11" s="1"/>
  <c r="AZ49" i="11" s="1"/>
  <c r="AY49" i="11"/>
  <c r="BB49" i="11" s="1"/>
  <c r="C50" i="11" s="1"/>
  <c r="D50" i="11" l="1"/>
  <c r="E50" i="11"/>
  <c r="F50" i="11" l="1"/>
  <c r="J50" i="11" s="1"/>
  <c r="G50" i="11" l="1"/>
  <c r="H50" i="11" s="1"/>
  <c r="I50" i="11" s="1"/>
  <c r="N50" i="11" s="1"/>
  <c r="T50" i="11" s="1"/>
  <c r="K50" i="11" l="1"/>
  <c r="L50" i="11" s="1"/>
  <c r="M50" i="11" s="1"/>
  <c r="O50" i="11" s="1"/>
  <c r="U50" i="11"/>
  <c r="V50" i="11" s="1"/>
  <c r="P50" i="11" l="1"/>
  <c r="Q50" i="11" s="1"/>
  <c r="R50" i="11" s="1"/>
  <c r="S50" i="11" s="1"/>
  <c r="W50" i="11"/>
  <c r="AD50" i="11" s="1"/>
  <c r="AC50" i="11" l="1"/>
  <c r="AE50" i="11" s="1"/>
  <c r="Y50" i="11"/>
  <c r="X50" i="11"/>
  <c r="AF50" i="11" l="1"/>
  <c r="Z50" i="11"/>
  <c r="AA50" i="11" s="1"/>
  <c r="AB50" i="11" s="1"/>
  <c r="AH50" i="11" s="1"/>
  <c r="AL50" i="11" l="1"/>
  <c r="AM50" i="11"/>
  <c r="AG50" i="11"/>
  <c r="AI50" i="11" s="1"/>
  <c r="AJ50" i="11" s="1"/>
  <c r="AK50" i="11" s="1"/>
  <c r="AO50" i="11" l="1"/>
  <c r="AU50" i="11" s="1"/>
  <c r="AN50" i="11"/>
  <c r="AQ50" i="11"/>
  <c r="AP50" i="11"/>
  <c r="AV50" i="11" l="1"/>
  <c r="AR50" i="11"/>
  <c r="AS50" i="11" s="1"/>
  <c r="AT50" i="11" s="1"/>
  <c r="AZ50" i="11" s="1"/>
  <c r="AW50" i="11" l="1"/>
  <c r="AY50" i="11" s="1"/>
  <c r="AX50" i="11"/>
  <c r="BA50" i="11" s="1"/>
  <c r="BB50" i="11" l="1"/>
  <c r="C51" i="11" s="1"/>
  <c r="E51" i="11" s="1"/>
  <c r="D51" i="11" l="1"/>
  <c r="F51" i="11" s="1"/>
  <c r="G51" i="11" s="1"/>
  <c r="H51" i="11" s="1"/>
  <c r="I51" i="11" s="1"/>
  <c r="J51" i="11" l="1"/>
  <c r="N51" i="11" s="1"/>
  <c r="T51" i="11" s="1"/>
  <c r="K51" i="11"/>
  <c r="L51" i="11" s="1"/>
  <c r="M51" i="11" l="1"/>
  <c r="U51" i="11"/>
  <c r="V51" i="11" s="1"/>
  <c r="P51" i="11"/>
  <c r="O51" i="11"/>
  <c r="W51" i="11" l="1"/>
  <c r="AC51" i="11" s="1"/>
  <c r="Q51" i="11"/>
  <c r="R51" i="11" s="1"/>
  <c r="S51" i="11" s="1"/>
  <c r="Y51" i="11" s="1"/>
  <c r="AD51" i="11" l="1"/>
  <c r="X51" i="11"/>
  <c r="Z51" i="11" s="1"/>
  <c r="AA51" i="11" s="1"/>
  <c r="AB51" i="11" s="1"/>
  <c r="AG51" i="11" s="1"/>
  <c r="AE51" i="11" l="1"/>
  <c r="AF51" i="11"/>
  <c r="AH51" i="11"/>
  <c r="AI51" i="11" s="1"/>
  <c r="AJ51" i="11" s="1"/>
  <c r="AK51" i="11" s="1"/>
  <c r="AM51" i="11" l="1"/>
  <c r="AL51" i="11"/>
  <c r="AP51" i="11"/>
  <c r="AQ51" i="11"/>
  <c r="AN51" i="11" l="1"/>
  <c r="AO51" i="11"/>
  <c r="AR51" i="11"/>
  <c r="AS51" i="11" s="1"/>
  <c r="AT51" i="11" s="1"/>
  <c r="AZ51" i="11" s="1"/>
  <c r="AU51" i="11" l="1"/>
  <c r="AV51" i="11"/>
  <c r="AX51" i="11" l="1"/>
  <c r="BA51" i="11" s="1"/>
  <c r="AW51" i="11"/>
  <c r="AY51" i="11" s="1"/>
  <c r="BB51" i="11" l="1"/>
  <c r="C52" i="11" s="1"/>
  <c r="D52" i="11" s="1"/>
  <c r="E52" i="11" l="1"/>
  <c r="F52" i="11" s="1"/>
  <c r="J52" i="11" s="1"/>
  <c r="G52" i="11" l="1"/>
  <c r="H52" i="11" s="1"/>
  <c r="I52" i="11" s="1"/>
  <c r="K52" i="11" s="1"/>
  <c r="L52" i="11" s="1"/>
  <c r="M52" i="11" s="1"/>
  <c r="P52" i="11" s="1"/>
  <c r="N52" i="11" l="1"/>
  <c r="U52" i="11" s="1"/>
  <c r="O52" i="11"/>
  <c r="Q52" i="11" s="1"/>
  <c r="R52" i="11" s="1"/>
  <c r="S52" i="11" s="1"/>
  <c r="Y52" i="11" l="1"/>
  <c r="X52" i="11"/>
  <c r="T52" i="11"/>
  <c r="V52" i="11" s="1"/>
  <c r="Z52" i="11" l="1"/>
  <c r="AA52" i="11" s="1"/>
  <c r="AB52" i="11" s="1"/>
  <c r="AH52" i="11" s="1"/>
  <c r="W52" i="11"/>
  <c r="AC52" i="11" s="1"/>
  <c r="AG52" i="11" l="1"/>
  <c r="AI52" i="11" s="1"/>
  <c r="AJ52" i="11" s="1"/>
  <c r="AK52" i="11" s="1"/>
  <c r="AP52" i="11" s="1"/>
  <c r="AD52" i="11"/>
  <c r="AF52" i="11" s="1"/>
  <c r="AL52" i="11" s="1"/>
  <c r="AE52" i="11" l="1"/>
  <c r="AQ52" i="11"/>
  <c r="AR52" i="11" s="1"/>
  <c r="AS52" i="11" s="1"/>
  <c r="AT52" i="11" s="1"/>
  <c r="AZ52" i="11" s="1"/>
  <c r="AM52" i="11"/>
  <c r="AO52" i="11" s="1"/>
  <c r="AU52" i="11" s="1"/>
  <c r="AN52" i="11" l="1"/>
  <c r="AV52" i="11"/>
  <c r="AX52" i="11" s="1"/>
  <c r="BA52" i="11" s="1"/>
  <c r="AW52" i="11" l="1"/>
  <c r="AY52" i="11" s="1"/>
  <c r="BB52" i="11" s="1"/>
  <c r="C53" i="11" s="1"/>
  <c r="D53" i="11" s="1"/>
  <c r="E53" i="11" l="1"/>
  <c r="F53" i="11" s="1"/>
  <c r="G53" i="11" s="1"/>
  <c r="H53" i="11" s="1"/>
  <c r="I53" i="11" s="1"/>
  <c r="K53" i="11" s="1"/>
  <c r="L53" i="11" s="1"/>
  <c r="J53" i="11" l="1"/>
  <c r="N53" i="11" s="1"/>
  <c r="U53" i="11" s="1"/>
  <c r="T53" i="11" l="1"/>
  <c r="V53" i="11" s="1"/>
  <c r="M53" i="11"/>
  <c r="O53" i="11" s="1"/>
  <c r="W53" i="11" l="1"/>
  <c r="AC53" i="11" s="1"/>
  <c r="P53" i="11"/>
  <c r="Q53" i="11" s="1"/>
  <c r="R53" i="11" s="1"/>
  <c r="S53" i="11" s="1"/>
  <c r="AD53" i="11" l="1"/>
  <c r="AF53" i="11" s="1"/>
  <c r="AL53" i="11" s="1"/>
  <c r="X53" i="11"/>
  <c r="Y53" i="11"/>
  <c r="Z53" i="11" l="1"/>
  <c r="AA53" i="11" s="1"/>
  <c r="AB53" i="11" s="1"/>
  <c r="AG53" i="11" s="1"/>
  <c r="AM53" i="11"/>
  <c r="AO53" i="11" s="1"/>
  <c r="AU53" i="11" s="1"/>
  <c r="AE53" i="11"/>
  <c r="AH53" i="11" l="1"/>
  <c r="AI53" i="11" s="1"/>
  <c r="AJ53" i="11" s="1"/>
  <c r="AK53" i="11" s="1"/>
  <c r="AV53" i="11"/>
  <c r="AX53" i="11" s="1"/>
  <c r="BA53" i="11" s="1"/>
  <c r="AN53" i="11"/>
  <c r="AW53" i="11" l="1"/>
  <c r="AP53" i="11"/>
  <c r="AQ53" i="11"/>
  <c r="AR53" i="11" l="1"/>
  <c r="AS53" i="11" l="1"/>
  <c r="AT53" i="11" s="1"/>
  <c r="AZ53" i="11" s="1"/>
  <c r="AY53" i="11"/>
  <c r="BB53" i="11" s="1"/>
  <c r="C54" i="11" s="1"/>
  <c r="D54" i="11" l="1"/>
  <c r="E54" i="11"/>
  <c r="F54" i="11" l="1"/>
  <c r="G54" i="11" s="1"/>
  <c r="H54" i="11" s="1"/>
  <c r="I54" i="11" s="1"/>
  <c r="J54" i="11" l="1"/>
  <c r="N54" i="11" s="1"/>
  <c r="U54" i="11" s="1"/>
  <c r="K54" i="11"/>
  <c r="L54" i="11" s="1"/>
  <c r="M54" i="11" l="1"/>
  <c r="O54" i="11" s="1"/>
  <c r="T54" i="11"/>
  <c r="V54" i="11" s="1"/>
  <c r="P54" i="11" l="1"/>
  <c r="Q54" i="11" s="1"/>
  <c r="R54" i="11" s="1"/>
  <c r="S54" i="11" s="1"/>
  <c r="W54" i="11"/>
  <c r="AC54" i="11" s="1"/>
  <c r="AD54" i="11" l="1"/>
  <c r="AF54" i="11" s="1"/>
  <c r="AL54" i="11" s="1"/>
  <c r="X54" i="11"/>
  <c r="Y54" i="11"/>
  <c r="AE54" i="11" l="1"/>
  <c r="AM54" i="11"/>
  <c r="AO54" i="11" s="1"/>
  <c r="AU54" i="11" s="1"/>
  <c r="Z54" i="11"/>
  <c r="AA54" i="11" s="1"/>
  <c r="AB54" i="11" s="1"/>
  <c r="AN54" i="11" l="1"/>
  <c r="AV54" i="11"/>
  <c r="AX54" i="11" s="1"/>
  <c r="BA54" i="11" s="1"/>
  <c r="AH54" i="11"/>
  <c r="AG54" i="11"/>
  <c r="AW54" i="11" l="1"/>
  <c r="AI54" i="11"/>
  <c r="AJ54" i="11" s="1"/>
  <c r="AK54" i="11" s="1"/>
  <c r="AQ54" i="11" s="1"/>
  <c r="AP54" i="11" l="1"/>
  <c r="AR54" i="11" s="1"/>
  <c r="AS54" i="11" s="1"/>
  <c r="AT54" i="11" s="1"/>
  <c r="AZ54" i="11" s="1"/>
  <c r="AY54" i="11" l="1"/>
  <c r="BB54" i="11" s="1"/>
  <c r="C55" i="11" s="1"/>
  <c r="E55" i="11" s="1"/>
  <c r="D55" i="11" l="1"/>
  <c r="F55" i="11" s="1"/>
  <c r="J55" i="11" l="1"/>
  <c r="G55" i="11"/>
  <c r="H55" i="11" s="1"/>
  <c r="I55" i="11" s="1"/>
  <c r="K55" i="11" l="1"/>
  <c r="L55" i="11" s="1"/>
  <c r="M55" i="11" s="1"/>
  <c r="N55" i="11"/>
  <c r="U55" i="11" l="1"/>
  <c r="T55" i="11"/>
  <c r="O55" i="11"/>
  <c r="P55" i="11"/>
  <c r="V55" i="11" l="1"/>
  <c r="Q55" i="11"/>
  <c r="R55" i="11" s="1"/>
  <c r="S55" i="11" s="1"/>
  <c r="W55" i="11"/>
  <c r="AC55" i="11" l="1"/>
  <c r="AD55" i="11"/>
  <c r="Y55" i="11"/>
  <c r="X55" i="11"/>
  <c r="AF55" i="11" l="1"/>
  <c r="AM55" i="11" s="1"/>
  <c r="Z55" i="11"/>
  <c r="AA55" i="11" s="1"/>
  <c r="AB55" i="11" s="1"/>
  <c r="AE55" i="11"/>
  <c r="AL55" i="11" l="1"/>
  <c r="AO55" i="11" s="1"/>
  <c r="AG55" i="11"/>
  <c r="AH55" i="11"/>
  <c r="AN55" i="11" l="1"/>
  <c r="AU55" i="11"/>
  <c r="AV55" i="11"/>
  <c r="AI55" i="11"/>
  <c r="AJ55" i="11" s="1"/>
  <c r="AK55" i="11" s="1"/>
  <c r="AX55" i="11" l="1"/>
  <c r="BA55" i="11" s="1"/>
  <c r="AP55" i="11"/>
  <c r="AQ55" i="11"/>
  <c r="AW55" i="11"/>
  <c r="AR55" i="11" l="1"/>
  <c r="AS55" i="11" s="1"/>
  <c r="AT55" i="11" s="1"/>
  <c r="AZ55" i="11" s="1"/>
  <c r="AY55" i="11" l="1"/>
  <c r="BB55" i="11" s="1"/>
  <c r="C56" i="11" s="1"/>
  <c r="E56" i="11" l="1"/>
  <c r="D56" i="11"/>
  <c r="F56" i="11" l="1"/>
  <c r="G56" i="11" l="1"/>
  <c r="H56" i="11" s="1"/>
  <c r="I56" i="11" s="1"/>
  <c r="J56" i="11"/>
  <c r="N56" i="11" l="1"/>
  <c r="K56" i="11"/>
  <c r="L56" i="11" s="1"/>
  <c r="M56" i="11" s="1"/>
  <c r="P56" i="11" l="1"/>
  <c r="O56" i="11"/>
  <c r="U56" i="11"/>
  <c r="T56" i="11"/>
  <c r="Q56" i="11" l="1"/>
  <c r="R56" i="11" s="1"/>
  <c r="S56" i="11" s="1"/>
  <c r="Y56" i="11" s="1"/>
  <c r="V56" i="11"/>
  <c r="W56" i="11"/>
  <c r="X56" i="11" l="1"/>
  <c r="Z56" i="11" s="1"/>
  <c r="AA56" i="11" s="1"/>
  <c r="AB56" i="11" s="1"/>
  <c r="AG56" i="11" s="1"/>
  <c r="AC56" i="11"/>
  <c r="AD56" i="11"/>
  <c r="AH56" i="11" l="1"/>
  <c r="AI56" i="11" s="1"/>
  <c r="AJ56" i="11" s="1"/>
  <c r="AK56" i="11" s="1"/>
  <c r="AE56" i="11"/>
  <c r="AF56" i="11"/>
  <c r="AP56" i="11" l="1"/>
  <c r="AQ56" i="11"/>
  <c r="AL56" i="11"/>
  <c r="AM56" i="11"/>
  <c r="AO56" i="11" l="1"/>
  <c r="AU56" i="11" s="1"/>
  <c r="AN56" i="11"/>
  <c r="AR56" i="11"/>
  <c r="AS56" i="11" s="1"/>
  <c r="AT56" i="11" s="1"/>
  <c r="AZ56" i="11" s="1"/>
  <c r="AV56" i="11" l="1"/>
  <c r="AW56" i="11" s="1"/>
  <c r="AY56" i="11" s="1"/>
  <c r="AX56" i="11" l="1"/>
  <c r="BA56" i="11" s="1"/>
  <c r="BB56" i="11" s="1"/>
  <c r="C57" i="11" s="1"/>
  <c r="D57" i="11" s="1"/>
  <c r="E57" i="11" l="1"/>
  <c r="F57" i="11" s="1"/>
  <c r="J57" i="11" s="1"/>
  <c r="G57" i="11" l="1"/>
  <c r="H57" i="11" s="1"/>
  <c r="I57" i="11" s="1"/>
  <c r="N57" i="11" s="1"/>
  <c r="K57" i="11" l="1"/>
  <c r="L57" i="11" s="1"/>
  <c r="M57" i="11" s="1"/>
  <c r="O57" i="11" s="1"/>
  <c r="U57" i="11"/>
  <c r="T57" i="11"/>
  <c r="P57" i="11" l="1"/>
  <c r="Q57" i="11" s="1"/>
  <c r="R57" i="11" s="1"/>
  <c r="S57" i="11" s="1"/>
  <c r="V57" i="11"/>
  <c r="W57" i="11"/>
  <c r="Y57" i="11" l="1"/>
  <c r="X57" i="11"/>
  <c r="AD57" i="11"/>
  <c r="AC57" i="11"/>
  <c r="AE57" i="11" l="1"/>
  <c r="Z57" i="11"/>
  <c r="AA57" i="11" s="1"/>
  <c r="AB57" i="11" s="1"/>
  <c r="AH57" i="11" s="1"/>
  <c r="AF57" i="11"/>
  <c r="AG57" i="11" l="1"/>
  <c r="AI57" i="11" s="1"/>
  <c r="AJ57" i="11" s="1"/>
  <c r="AK57" i="11" s="1"/>
  <c r="AP57" i="11" s="1"/>
  <c r="AL57" i="11"/>
  <c r="AM57" i="11"/>
  <c r="AQ57" i="11" l="1"/>
  <c r="AR57" i="11" s="1"/>
  <c r="AS57" i="11" s="1"/>
  <c r="AT57" i="11" s="1"/>
  <c r="AZ57" i="11" s="1"/>
  <c r="AN57" i="11"/>
  <c r="AO57" i="11"/>
  <c r="AU57" i="11" l="1"/>
  <c r="AV57" i="11"/>
  <c r="AX57" i="11" l="1"/>
  <c r="BA57" i="11" s="1"/>
  <c r="AW57" i="11"/>
  <c r="AY57" i="11" s="1"/>
  <c r="BB57" i="11" l="1"/>
  <c r="C58" i="11" s="1"/>
  <c r="D58" i="11" s="1"/>
  <c r="E58" i="11" l="1"/>
  <c r="F58" i="11" s="1"/>
  <c r="J58" i="11" l="1"/>
  <c r="G58" i="11"/>
  <c r="H58" i="11" s="1"/>
  <c r="I58" i="11" s="1"/>
  <c r="K58" i="11" l="1"/>
  <c r="L58" i="11" s="1"/>
  <c r="M58" i="11" s="1"/>
  <c r="N58" i="11"/>
  <c r="U58" i="11" l="1"/>
  <c r="T58" i="11"/>
  <c r="O58" i="11"/>
  <c r="P58" i="11"/>
  <c r="V58" i="11" l="1"/>
  <c r="Q58" i="11"/>
  <c r="R58" i="11" s="1"/>
  <c r="S58" i="11" s="1"/>
  <c r="W58" i="11"/>
  <c r="AC58" i="11" l="1"/>
  <c r="AD58" i="11"/>
  <c r="Y58" i="11"/>
  <c r="X58" i="11"/>
  <c r="Z58" i="11" l="1"/>
  <c r="AA58" i="11" s="1"/>
  <c r="AB58" i="11" s="1"/>
  <c r="AG58" i="11" s="1"/>
  <c r="AF58" i="11"/>
  <c r="AL58" i="11" s="1"/>
  <c r="AE58" i="11"/>
  <c r="AH58" i="11" l="1"/>
  <c r="AI58" i="11" s="1"/>
  <c r="AJ58" i="11" s="1"/>
  <c r="AK58" i="11" s="1"/>
  <c r="AM58" i="11"/>
  <c r="AN58" i="11" s="1"/>
  <c r="AO58" i="11" l="1"/>
  <c r="AU58" i="11" s="1"/>
  <c r="AQ58" i="11"/>
  <c r="AP58" i="11"/>
  <c r="AR58" i="11" l="1"/>
  <c r="AS58" i="11" s="1"/>
  <c r="AT58" i="11" s="1"/>
  <c r="AZ58" i="11" s="1"/>
  <c r="AV58" i="11"/>
  <c r="AW58" i="11" s="1"/>
  <c r="AX58" i="11" l="1"/>
  <c r="BA58" i="11" s="1"/>
  <c r="AY58" i="11"/>
  <c r="BB58" i="11" l="1"/>
  <c r="C59" i="11" s="1"/>
  <c r="D59" i="11" s="1"/>
  <c r="E59" i="11" l="1"/>
  <c r="F59" i="11" s="1"/>
  <c r="J59" i="11" s="1"/>
  <c r="G59" i="11" l="1"/>
  <c r="H59" i="11" s="1"/>
  <c r="I59" i="11" s="1"/>
  <c r="K59" i="11" s="1"/>
  <c r="L59" i="11" s="1"/>
  <c r="M59" i="11" s="1"/>
  <c r="P59" i="11" s="1"/>
  <c r="O59" i="11" l="1"/>
  <c r="Q59" i="11" s="1"/>
  <c r="R59" i="11" s="1"/>
  <c r="S59" i="11" s="1"/>
  <c r="Y59" i="11" s="1"/>
  <c r="N59" i="11"/>
  <c r="T59" i="11" s="1"/>
  <c r="U59" i="11" l="1"/>
  <c r="W59" i="11" s="1"/>
  <c r="AD59" i="11" s="1"/>
  <c r="X59" i="11"/>
  <c r="Z59" i="11" s="1"/>
  <c r="AA59" i="11" s="1"/>
  <c r="AB59" i="11" s="1"/>
  <c r="AH59" i="11" s="1"/>
  <c r="AC59" i="11" l="1"/>
  <c r="AE59" i="11" s="1"/>
  <c r="V59" i="11"/>
  <c r="AG59" i="11"/>
  <c r="AI59" i="11" s="1"/>
  <c r="AJ59" i="11" s="1"/>
  <c r="AK59" i="11" s="1"/>
  <c r="AQ59" i="11" s="1"/>
  <c r="AF59" i="11" l="1"/>
  <c r="AL59" i="11" s="1"/>
  <c r="AP59" i="11"/>
  <c r="AR59" i="11" s="1"/>
  <c r="AS59" i="11" s="1"/>
  <c r="AT59" i="11" s="1"/>
  <c r="AZ59" i="11" s="1"/>
  <c r="AM59" i="11" l="1"/>
  <c r="AO59" i="11" s="1"/>
  <c r="AU59" i="11" s="1"/>
  <c r="AN59" i="11" l="1"/>
  <c r="AV59" i="11"/>
  <c r="AX59" i="11" s="1"/>
  <c r="BA59" i="11" s="1"/>
  <c r="AW59" i="11" l="1"/>
  <c r="AY59" i="11" s="1"/>
  <c r="BB59" i="11" s="1"/>
  <c r="C60" i="11" s="1"/>
  <c r="E60" i="11" s="1"/>
  <c r="D60" i="11" l="1"/>
  <c r="F60" i="11" s="1"/>
  <c r="G60" i="11" s="1"/>
  <c r="H60" i="11" s="1"/>
  <c r="I60" i="11" s="1"/>
  <c r="K60" i="11" s="1"/>
  <c r="L60" i="11" s="1"/>
  <c r="J60" i="11" l="1"/>
  <c r="N60" i="11" s="1"/>
  <c r="T60" i="11" s="1"/>
  <c r="U60" i="11" l="1"/>
  <c r="W60" i="11" s="1"/>
  <c r="AC60" i="11" s="1"/>
  <c r="M60" i="11"/>
  <c r="O60" i="11" s="1"/>
  <c r="P60" i="11" l="1"/>
  <c r="Q60" i="11" s="1"/>
  <c r="R60" i="11" s="1"/>
  <c r="S60" i="11" s="1"/>
  <c r="X60" i="11" s="1"/>
  <c r="V60" i="11"/>
  <c r="AD60" i="11"/>
  <c r="AF60" i="11" s="1"/>
  <c r="AM60" i="11" s="1"/>
  <c r="Y60" i="11" l="1"/>
  <c r="Z60" i="11" s="1"/>
  <c r="AA60" i="11" s="1"/>
  <c r="AB60" i="11" s="1"/>
  <c r="AE60" i="11"/>
  <c r="AL60" i="11"/>
  <c r="AN60" i="11" s="1"/>
  <c r="AO60" i="11" l="1"/>
  <c r="AU60" i="11" s="1"/>
  <c r="AV60" i="11"/>
  <c r="AH60" i="11"/>
  <c r="AG60" i="11"/>
  <c r="AX60" i="11" l="1"/>
  <c r="BA60" i="11" s="1"/>
  <c r="AI60" i="11"/>
  <c r="AJ60" i="11" s="1"/>
  <c r="AK60" i="11" s="1"/>
  <c r="AQ60" i="11" s="1"/>
  <c r="AW60" i="11"/>
  <c r="AP60" i="11" l="1"/>
  <c r="AR60" i="11" s="1"/>
  <c r="AS60" i="11" s="1"/>
  <c r="AT60" i="11" s="1"/>
  <c r="AZ60" i="11" s="1"/>
  <c r="AY60" i="11" l="1"/>
  <c r="BB60" i="11" s="1"/>
  <c r="C61" i="11" s="1"/>
  <c r="D61" i="11" l="1"/>
  <c r="E61" i="11"/>
  <c r="F61" i="11" l="1"/>
  <c r="G61" i="11" l="1"/>
  <c r="H61" i="11" s="1"/>
  <c r="I61" i="11" s="1"/>
  <c r="K61" i="11" s="1"/>
  <c r="L61" i="11" s="1"/>
  <c r="J61" i="11"/>
  <c r="M61" i="11" l="1"/>
  <c r="P61" i="11" s="1"/>
  <c r="N61" i="11"/>
  <c r="O61" i="11" l="1"/>
  <c r="Q61" i="11" s="1"/>
  <c r="R61" i="11" s="1"/>
  <c r="S61" i="11" s="1"/>
  <c r="Y61" i="11" s="1"/>
  <c r="T61" i="11"/>
  <c r="U61" i="11"/>
  <c r="X61" i="11" l="1"/>
  <c r="Z61" i="11" s="1"/>
  <c r="AA61" i="11" s="1"/>
  <c r="AB61" i="11" s="1"/>
  <c r="W61" i="11"/>
  <c r="AC61" i="11" s="1"/>
  <c r="V61" i="11"/>
  <c r="AD61" i="11" l="1"/>
  <c r="AF61" i="11" s="1"/>
  <c r="AM61" i="11" s="1"/>
  <c r="AG61" i="11"/>
  <c r="AH61" i="11"/>
  <c r="AL61" i="11" l="1"/>
  <c r="AO61" i="11" s="1"/>
  <c r="AV61" i="11" s="1"/>
  <c r="AE61" i="11"/>
  <c r="AI61" i="11"/>
  <c r="AJ61" i="11" s="1"/>
  <c r="AK61" i="11" s="1"/>
  <c r="AQ61" i="11" s="1"/>
  <c r="AU61" i="11" l="1"/>
  <c r="AW61" i="11" s="1"/>
  <c r="AN61" i="11"/>
  <c r="AP61" i="11"/>
  <c r="AR61" i="11" s="1"/>
  <c r="AS61" i="11" s="1"/>
  <c r="AT61" i="11" s="1"/>
  <c r="AZ61" i="11" s="1"/>
  <c r="AX61" i="11" l="1"/>
  <c r="BA61" i="11" s="1"/>
  <c r="AY61" i="11"/>
  <c r="BB61" i="11" l="1"/>
  <c r="C62" i="11" s="1"/>
  <c r="D62" i="11" s="1"/>
  <c r="E62" i="11" l="1"/>
  <c r="F62" i="11" s="1"/>
  <c r="G62" i="11" s="1"/>
  <c r="H62" i="11" s="1"/>
  <c r="I62" i="11" s="1"/>
  <c r="K62" i="11" s="1"/>
  <c r="L62" i="11" s="1"/>
  <c r="J62" i="11" l="1"/>
  <c r="N62" i="11" s="1"/>
  <c r="U62" i="11" s="1"/>
  <c r="M62" i="11" l="1"/>
  <c r="P62" i="11" s="1"/>
  <c r="T62" i="11"/>
  <c r="V62" i="11" s="1"/>
  <c r="O62" i="11" l="1"/>
  <c r="Q62" i="11" s="1"/>
  <c r="R62" i="11" s="1"/>
  <c r="S62" i="11" s="1"/>
  <c r="Y62" i="11" s="1"/>
  <c r="W62" i="11"/>
  <c r="AD62" i="11" s="1"/>
  <c r="X62" i="11" l="1"/>
  <c r="Z62" i="11" s="1"/>
  <c r="AA62" i="11" s="1"/>
  <c r="AB62" i="11" s="1"/>
  <c r="AG62" i="11" s="1"/>
  <c r="AC62" i="11"/>
  <c r="AE62" i="11" s="1"/>
  <c r="AF62" i="11" l="1"/>
  <c r="AL62" i="11" s="1"/>
  <c r="AH62" i="11"/>
  <c r="AI62" i="11" s="1"/>
  <c r="AJ62" i="11" s="1"/>
  <c r="AK62" i="11" s="1"/>
  <c r="AQ62" i="11" s="1"/>
  <c r="AM62" i="11" l="1"/>
  <c r="AO62" i="11" s="1"/>
  <c r="AV62" i="11" s="1"/>
  <c r="AP62" i="11"/>
  <c r="AR62" i="11" s="1"/>
  <c r="AS62" i="11" s="1"/>
  <c r="AT62" i="11" s="1"/>
  <c r="AZ62" i="11" s="1"/>
  <c r="AN62" i="11" l="1"/>
  <c r="AU62" i="11"/>
  <c r="AW62" i="11" s="1"/>
  <c r="AY62" i="11" s="1"/>
  <c r="AX62" i="11" l="1"/>
  <c r="BA62" i="11" s="1"/>
  <c r="BB62" i="11" s="1"/>
  <c r="C63" i="11" s="1"/>
  <c r="D63" i="11" s="1"/>
  <c r="E63" i="11" l="1"/>
  <c r="F63" i="11" s="1"/>
  <c r="J63" i="11" s="1"/>
  <c r="G63" i="11" l="1"/>
  <c r="H63" i="11" s="1"/>
  <c r="I63" i="11" s="1"/>
  <c r="K63" i="11" s="1"/>
  <c r="L63" i="11" s="1"/>
  <c r="M63" i="11" s="1"/>
  <c r="N63" i="11" l="1"/>
  <c r="U63" i="11" s="1"/>
  <c r="O63" i="11"/>
  <c r="P63" i="11"/>
  <c r="T63" i="11" l="1"/>
  <c r="V63" i="11" s="1"/>
  <c r="Q63" i="11"/>
  <c r="R63" i="11" s="1"/>
  <c r="S63" i="11" s="1"/>
  <c r="W63" i="11" l="1"/>
  <c r="AC63" i="11" s="1"/>
  <c r="X63" i="11"/>
  <c r="Y63" i="11"/>
  <c r="AD63" i="11" l="1"/>
  <c r="AF63" i="11" s="1"/>
  <c r="AL63" i="11" s="1"/>
  <c r="Z63" i="11"/>
  <c r="AA63" i="11" s="1"/>
  <c r="AB63" i="11" s="1"/>
  <c r="AM63" i="11" l="1"/>
  <c r="AO63" i="11" s="1"/>
  <c r="AU63" i="11" s="1"/>
  <c r="AE63" i="11"/>
  <c r="AG63" i="11"/>
  <c r="AH63" i="11"/>
  <c r="AV63" i="11" l="1"/>
  <c r="AX63" i="11" s="1"/>
  <c r="BA63" i="11" s="1"/>
  <c r="AN63" i="11"/>
  <c r="AI63" i="11"/>
  <c r="AJ63" i="11" s="1"/>
  <c r="AK63" i="11" s="1"/>
  <c r="AW63" i="11" l="1"/>
  <c r="AP63" i="11"/>
  <c r="AQ63" i="11"/>
  <c r="AR63" i="11" l="1"/>
  <c r="AS63" i="11" l="1"/>
  <c r="AT63" i="11" s="1"/>
  <c r="AZ63" i="11" s="1"/>
  <c r="AY63" i="11"/>
  <c r="BB63" i="11" s="1"/>
  <c r="C64" i="11" s="1"/>
  <c r="D64" i="11" l="1"/>
  <c r="E64" i="11"/>
  <c r="F64" i="11" l="1"/>
  <c r="J64" i="11" s="1"/>
  <c r="G64" i="11" l="1"/>
  <c r="H64" i="11" s="1"/>
  <c r="I64" i="11" s="1"/>
  <c r="K64" i="11" s="1"/>
  <c r="L64" i="11" s="1"/>
  <c r="M64" i="11" s="1"/>
  <c r="N64" i="11" l="1"/>
  <c r="U64" i="11" s="1"/>
  <c r="O64" i="11"/>
  <c r="P64" i="11"/>
  <c r="T64" i="11" l="1"/>
  <c r="V64" i="11" s="1"/>
  <c r="Q64" i="11"/>
  <c r="R64" i="11" s="1"/>
  <c r="S64" i="11" s="1"/>
  <c r="W64" i="11" l="1"/>
  <c r="AC64" i="11" s="1"/>
  <c r="Y64" i="11"/>
  <c r="X64" i="11"/>
  <c r="Z64" i="11" l="1"/>
  <c r="AA64" i="11" s="1"/>
  <c r="AB64" i="11" s="1"/>
  <c r="AG64" i="11" s="1"/>
  <c r="AD64" i="11"/>
  <c r="AF64" i="11" s="1"/>
  <c r="AM64" i="11" s="1"/>
  <c r="AE64" i="11" l="1"/>
  <c r="AH64" i="11"/>
  <c r="AI64" i="11" s="1"/>
  <c r="AJ64" i="11" s="1"/>
  <c r="AK64" i="11" s="1"/>
  <c r="AQ64" i="11" s="1"/>
  <c r="AL64" i="11"/>
  <c r="AN64" i="11" s="1"/>
  <c r="AO64" i="11" l="1"/>
  <c r="AU64" i="11" s="1"/>
  <c r="AP64" i="11"/>
  <c r="AR64" i="11" s="1"/>
  <c r="AS64" i="11" s="1"/>
  <c r="AT64" i="11" s="1"/>
  <c r="AZ64" i="11" s="1"/>
  <c r="AV64" i="11" l="1"/>
  <c r="AX64" i="11" s="1"/>
  <c r="BA64" i="11" s="1"/>
  <c r="AW64" i="11" l="1"/>
  <c r="AY64" i="11" s="1"/>
  <c r="BB64" i="11" s="1"/>
  <c r="C65" i="11" s="1"/>
  <c r="E65" i="11" l="1"/>
  <c r="D65" i="11"/>
  <c r="F65" i="11" l="1"/>
  <c r="G65" i="11" s="1"/>
  <c r="H65" i="11" s="1"/>
  <c r="I65" i="11" s="1"/>
  <c r="K65" i="11" s="1"/>
  <c r="L65" i="11" s="1"/>
  <c r="J65" i="11" l="1"/>
  <c r="M65" i="11" s="1"/>
  <c r="P65" i="11" s="1"/>
  <c r="N65" i="11" l="1"/>
  <c r="U65" i="11" s="1"/>
  <c r="O65" i="11"/>
  <c r="Q65" i="11" s="1"/>
  <c r="R65" i="11" s="1"/>
  <c r="S65" i="11" s="1"/>
  <c r="X65" i="11" s="1"/>
  <c r="T65" i="11" l="1"/>
  <c r="W65" i="11" s="1"/>
  <c r="AD65" i="11" s="1"/>
  <c r="Y65" i="11"/>
  <c r="Z65" i="11" s="1"/>
  <c r="AA65" i="11" s="1"/>
  <c r="AB65" i="11" s="1"/>
  <c r="V65" i="11" l="1"/>
  <c r="AC65" i="11"/>
  <c r="AE65" i="11" s="1"/>
  <c r="AG65" i="11"/>
  <c r="AH65" i="11"/>
  <c r="AF65" i="11" l="1"/>
  <c r="AL65" i="11" s="1"/>
  <c r="AI65" i="11"/>
  <c r="AJ65" i="11" s="1"/>
  <c r="AK65" i="11" s="1"/>
  <c r="AM65" i="11" l="1"/>
  <c r="AO65" i="11" s="1"/>
  <c r="AV65" i="11" s="1"/>
  <c r="AQ65" i="11"/>
  <c r="AP65" i="11"/>
  <c r="AN65" i="11" l="1"/>
  <c r="AU65" i="11"/>
  <c r="AW65" i="11" s="1"/>
  <c r="AR65" i="11"/>
  <c r="AS65" i="11" s="1"/>
  <c r="AT65" i="11" s="1"/>
  <c r="AZ65" i="11" s="1"/>
  <c r="AX65" i="11" l="1"/>
  <c r="BA65" i="11" s="1"/>
  <c r="AY65" i="11"/>
  <c r="BB65" i="11" l="1"/>
  <c r="C66" i="11" s="1"/>
  <c r="D66" i="11" s="1"/>
  <c r="E66" i="11" l="1"/>
  <c r="F66" i="11" s="1"/>
  <c r="J66" i="11" s="1"/>
  <c r="G66" i="11" l="1"/>
  <c r="H66" i="11" s="1"/>
  <c r="I66" i="11" s="1"/>
  <c r="K66" i="11" s="1"/>
  <c r="L66" i="11" s="1"/>
  <c r="M66" i="11" s="1"/>
  <c r="N66" i="11" l="1"/>
  <c r="T66" i="11" s="1"/>
  <c r="P66" i="11"/>
  <c r="O66" i="11"/>
  <c r="U66" i="11" l="1"/>
  <c r="V66" i="11" s="1"/>
  <c r="Q66" i="11"/>
  <c r="R66" i="11" s="1"/>
  <c r="S66" i="11" s="1"/>
  <c r="W66" i="11" l="1"/>
  <c r="AC66" i="11" s="1"/>
  <c r="X66" i="11"/>
  <c r="Y66" i="11"/>
  <c r="AD66" i="11" l="1"/>
  <c r="AF66" i="11" s="1"/>
  <c r="AL66" i="11" s="1"/>
  <c r="Z66" i="11"/>
  <c r="AA66" i="11" s="1"/>
  <c r="AB66" i="11" s="1"/>
  <c r="AH66" i="11" s="1"/>
  <c r="AM66" i="11" l="1"/>
  <c r="AO66" i="11" s="1"/>
  <c r="AU66" i="11" s="1"/>
  <c r="AE66" i="11"/>
  <c r="AG66" i="11"/>
  <c r="AI66" i="11" s="1"/>
  <c r="AJ66" i="11" s="1"/>
  <c r="AK66" i="11" s="1"/>
  <c r="AQ66" i="11" s="1"/>
  <c r="AN66" i="11" l="1"/>
  <c r="AV66" i="11"/>
  <c r="AW66" i="11" s="1"/>
  <c r="AX66" i="11"/>
  <c r="BA66" i="11" s="1"/>
  <c r="AP66" i="11"/>
  <c r="AR66" i="11" s="1"/>
  <c r="AS66" i="11" s="1"/>
  <c r="AT66" i="11" s="1"/>
  <c r="AZ66" i="11" s="1"/>
  <c r="AY66" i="11" l="1"/>
  <c r="BB66" i="11" s="1"/>
  <c r="C67" i="11" s="1"/>
  <c r="E67" i="11" s="1"/>
  <c r="D67" i="11" l="1"/>
  <c r="F67" i="11" s="1"/>
  <c r="J67" i="11" l="1"/>
  <c r="G67" i="11"/>
  <c r="H67" i="11" s="1"/>
  <c r="I67" i="11" s="1"/>
  <c r="K67" i="11" l="1"/>
  <c r="L67" i="11" s="1"/>
  <c r="M67" i="11" s="1"/>
  <c r="N67" i="11"/>
  <c r="U67" i="11" l="1"/>
  <c r="T67" i="11"/>
  <c r="P67" i="11"/>
  <c r="O67" i="11"/>
  <c r="Q67" i="11" l="1"/>
  <c r="R67" i="11" s="1"/>
  <c r="S67" i="11" s="1"/>
  <c r="X67" i="11" s="1"/>
  <c r="V67" i="11"/>
  <c r="W67" i="11"/>
  <c r="Y67" i="11" l="1"/>
  <c r="Z67" i="11" s="1"/>
  <c r="AA67" i="11" s="1"/>
  <c r="AB67" i="11" s="1"/>
  <c r="AH67" i="11" s="1"/>
  <c r="AC67" i="11"/>
  <c r="AD67" i="11"/>
  <c r="AG67" i="11" l="1"/>
  <c r="AI67" i="11" s="1"/>
  <c r="AJ67" i="11" s="1"/>
  <c r="AK67" i="11" s="1"/>
  <c r="AE67" i="11"/>
  <c r="AF67" i="11"/>
  <c r="AQ67" i="11" l="1"/>
  <c r="AP67" i="11"/>
  <c r="AM67" i="11"/>
  <c r="AL67" i="11"/>
  <c r="AN67" i="11" l="1"/>
  <c r="AR67" i="11"/>
  <c r="AS67" i="11" s="1"/>
  <c r="AT67" i="11" s="1"/>
  <c r="AZ67" i="11" s="1"/>
  <c r="AO67" i="11"/>
  <c r="AU67" i="11" l="1"/>
  <c r="AV67" i="11"/>
  <c r="AX67" i="11" l="1"/>
  <c r="BA67" i="11" s="1"/>
  <c r="AW67" i="11"/>
  <c r="AY67" i="11" s="1"/>
  <c r="BB67" i="11" l="1"/>
  <c r="C68" i="11" s="1"/>
  <c r="E68" i="11" s="1"/>
  <c r="D68" i="11" l="1"/>
  <c r="F68" i="11" s="1"/>
  <c r="G68" i="11" l="1"/>
  <c r="H68" i="11" s="1"/>
  <c r="I68" i="11" s="1"/>
  <c r="J68" i="11"/>
  <c r="N68" i="11" l="1"/>
  <c r="T68" i="11" s="1"/>
  <c r="K68" i="11"/>
  <c r="L68" i="11" s="1"/>
  <c r="M68" i="11" s="1"/>
  <c r="U68" i="11" l="1"/>
  <c r="V68" i="11" s="1"/>
  <c r="O68" i="11"/>
  <c r="P68" i="11"/>
  <c r="W68" i="11" l="1"/>
  <c r="AD68" i="11" s="1"/>
  <c r="Q68" i="11"/>
  <c r="R68" i="11" s="1"/>
  <c r="S68" i="11" s="1"/>
  <c r="AC68" i="11" l="1"/>
  <c r="AF68" i="11" s="1"/>
  <c r="AM68" i="11" s="1"/>
  <c r="Y68" i="11"/>
  <c r="X68" i="11"/>
  <c r="AE68" i="11" l="1"/>
  <c r="AL68" i="11"/>
  <c r="AN68" i="11" s="1"/>
  <c r="Z68" i="11"/>
  <c r="AA68" i="11" s="1"/>
  <c r="AB68" i="11" s="1"/>
  <c r="AH68" i="11" s="1"/>
  <c r="AO68" i="11" l="1"/>
  <c r="AU68" i="11" s="1"/>
  <c r="AG68" i="11"/>
  <c r="AI68" i="11" s="1"/>
  <c r="AJ68" i="11" s="1"/>
  <c r="AK68" i="11" s="1"/>
  <c r="AV68" i="11" l="1"/>
  <c r="AX68" i="11" s="1"/>
  <c r="BA68" i="11" s="1"/>
  <c r="AQ68" i="11"/>
  <c r="AP68" i="11"/>
  <c r="AW68" i="11" l="1"/>
  <c r="AR68" i="11"/>
  <c r="AS68" i="11" s="1"/>
  <c r="AT68" i="11" s="1"/>
  <c r="AZ68" i="11" s="1"/>
  <c r="AY68" i="11" l="1"/>
  <c r="BB68" i="11" s="1"/>
  <c r="C69" i="11" s="1"/>
  <c r="E69" i="11" s="1"/>
  <c r="D69" i="11" l="1"/>
  <c r="F69" i="11" s="1"/>
  <c r="G69" i="11" l="1"/>
  <c r="H69" i="11" s="1"/>
  <c r="I69" i="11" s="1"/>
  <c r="J69" i="11"/>
  <c r="N69" i="11" l="1"/>
  <c r="K69" i="11"/>
  <c r="L69" i="11" s="1"/>
  <c r="M69" i="11" s="1"/>
  <c r="O69" i="11" l="1"/>
  <c r="P69" i="11"/>
  <c r="U69" i="11"/>
  <c r="T69" i="11"/>
  <c r="V69" i="11" l="1"/>
  <c r="W69" i="11"/>
  <c r="Q69" i="11"/>
  <c r="R69" i="11" s="1"/>
  <c r="S69" i="11" s="1"/>
  <c r="X69" i="11" l="1"/>
  <c r="Y69" i="11"/>
  <c r="AC69" i="11"/>
  <c r="AD69" i="11"/>
  <c r="AF69" i="11" l="1"/>
  <c r="AM69" i="11" s="1"/>
  <c r="AE69" i="11"/>
  <c r="Z69" i="11"/>
  <c r="AA69" i="11" s="1"/>
  <c r="AB69" i="11" s="1"/>
  <c r="AL69" i="11" l="1"/>
  <c r="AN69" i="11" s="1"/>
  <c r="AG69" i="11"/>
  <c r="AH69" i="11"/>
  <c r="AO69" i="11" l="1"/>
  <c r="AV69" i="11" s="1"/>
  <c r="AI69" i="11"/>
  <c r="AJ69" i="11" s="1"/>
  <c r="AK69" i="11" s="1"/>
  <c r="AU69" i="11" l="1"/>
  <c r="AW69" i="11" s="1"/>
  <c r="AP69" i="11"/>
  <c r="AQ69" i="11"/>
  <c r="AX69" i="11" l="1"/>
  <c r="BA69" i="11" s="1"/>
  <c r="AR69" i="11"/>
  <c r="AS69" i="11" l="1"/>
  <c r="AT69" i="11" s="1"/>
  <c r="AZ69" i="11" s="1"/>
  <c r="AY69" i="11"/>
  <c r="BB69" i="11" s="1"/>
  <c r="C70" i="11" s="1"/>
  <c r="E70" i="11" l="1"/>
  <c r="D70" i="11"/>
  <c r="F70" i="11" l="1"/>
  <c r="J70" i="11" l="1"/>
  <c r="G70" i="11"/>
  <c r="H70" i="11" s="1"/>
  <c r="I70" i="11" s="1"/>
  <c r="K70" i="11" l="1"/>
  <c r="L70" i="11" s="1"/>
  <c r="M70" i="11" s="1"/>
  <c r="N70" i="11"/>
  <c r="T70" i="11" l="1"/>
  <c r="U70" i="11"/>
  <c r="P70" i="11"/>
  <c r="O70" i="11"/>
  <c r="Q70" i="11" l="1"/>
  <c r="R70" i="11" s="1"/>
  <c r="S70" i="11" s="1"/>
  <c r="Y70" i="11" s="1"/>
  <c r="W70" i="11"/>
  <c r="AC70" i="11" s="1"/>
  <c r="V70" i="11"/>
  <c r="X70" i="11" l="1"/>
  <c r="Z70" i="11" s="1"/>
  <c r="AA70" i="11" s="1"/>
  <c r="AB70" i="11" s="1"/>
  <c r="AD70" i="11"/>
  <c r="AF70" i="11" s="1"/>
  <c r="AM70" i="11" s="1"/>
  <c r="AE70" i="11" l="1"/>
  <c r="AL70" i="11"/>
  <c r="AN70" i="11" s="1"/>
  <c r="AG70" i="11"/>
  <c r="AH70" i="11"/>
  <c r="AO70" i="11" l="1"/>
  <c r="AV70" i="11" s="1"/>
  <c r="AI70" i="11"/>
  <c r="AJ70" i="11" s="1"/>
  <c r="AK70" i="11" s="1"/>
  <c r="AU70" i="11" l="1"/>
  <c r="AW70" i="11" s="1"/>
  <c r="AP70" i="11"/>
  <c r="AQ70" i="11"/>
  <c r="AX70" i="11" l="1"/>
  <c r="BA70" i="11" s="1"/>
  <c r="AR70" i="11"/>
  <c r="AS70" i="11" l="1"/>
  <c r="AT70" i="11" s="1"/>
  <c r="AZ70" i="11" s="1"/>
  <c r="AY70" i="11"/>
  <c r="BB70" i="11" s="1"/>
  <c r="BE5" i="13" l="1" a="1"/>
  <c r="BE5" i="13" s="1"/>
  <c r="BB5" i="13" a="1"/>
  <c r="BC7" i="13" s="1"/>
  <c r="BB7" i="13" l="1"/>
  <c r="BF5" i="13"/>
  <c r="BE9" i="13"/>
  <c r="BF7" i="13"/>
  <c r="BC8" i="13"/>
  <c r="BC5" i="13"/>
  <c r="BE6" i="13"/>
  <c r="BB8" i="13"/>
  <c r="BF9" i="13"/>
  <c r="BF8" i="13"/>
  <c r="BF6" i="13"/>
  <c r="BC6" i="13"/>
  <c r="BB5" i="13"/>
  <c r="BB4" i="13" s="1"/>
  <c r="BE7" i="13"/>
  <c r="BB6" i="13"/>
  <c r="BE8" i="13"/>
  <c r="BB5" i="14" a="1"/>
  <c r="BB6" i="14" s="1"/>
  <c r="BC5" i="14" l="1"/>
  <c r="BC7" i="14"/>
  <c r="BB7" i="14"/>
  <c r="BB8" i="14"/>
  <c r="BC6" i="14"/>
  <c r="BB5" i="14"/>
  <c r="BB4" i="14" s="1"/>
  <c r="BC8" i="14"/>
</calcChain>
</file>

<file path=xl/sharedStrings.xml><?xml version="1.0" encoding="utf-8"?>
<sst xmlns="http://schemas.openxmlformats.org/spreadsheetml/2006/main" count="913" uniqueCount="95">
  <si>
    <t>m</t>
  </si>
  <si>
    <t>J/kgK</t>
  </si>
  <si>
    <t>W/mK</t>
  </si>
  <si>
    <t>C4</t>
  </si>
  <si>
    <t>T</t>
  </si>
  <si>
    <t>α</t>
  </si>
  <si>
    <t>Constants (Fixed Inputs)</t>
  </si>
  <si>
    <t>Tc</t>
  </si>
  <si>
    <t>a</t>
  </si>
  <si>
    <t>b</t>
  </si>
  <si>
    <t>vc</t>
  </si>
  <si>
    <t>DATA</t>
  </si>
  <si>
    <t>h</t>
  </si>
  <si>
    <t>Shear Angle</t>
  </si>
  <si>
    <t>Φ</t>
  </si>
  <si>
    <t>degrees</t>
  </si>
  <si>
    <t>rad</t>
  </si>
  <si>
    <t>m/min</t>
  </si>
  <si>
    <t>m/s</t>
  </si>
  <si>
    <t>Rake Angle</t>
  </si>
  <si>
    <t>γ</t>
  </si>
  <si>
    <t>Clearance Angle</t>
  </si>
  <si>
    <t>Cutting Edge Radius</t>
  </si>
  <si>
    <r>
      <t>r</t>
    </r>
    <r>
      <rPr>
        <b/>
        <i/>
        <vertAlign val="subscript"/>
        <sz val="11"/>
        <color theme="1"/>
        <rFont val="Calibri"/>
        <family val="2"/>
      </rPr>
      <t>β</t>
    </r>
  </si>
  <si>
    <t>microns</t>
  </si>
  <si>
    <t>Flank Contact Length</t>
  </si>
  <si>
    <r>
      <t>l</t>
    </r>
    <r>
      <rPr>
        <b/>
        <i/>
        <vertAlign val="subscript"/>
        <sz val="11"/>
        <color theme="1"/>
        <rFont val="Calibri"/>
        <family val="2"/>
      </rPr>
      <t>ext</t>
    </r>
  </si>
  <si>
    <t>Uncut chip thickness</t>
  </si>
  <si>
    <t>mm</t>
  </si>
  <si>
    <t>Shear Plane Length</t>
  </si>
  <si>
    <r>
      <t>l</t>
    </r>
    <r>
      <rPr>
        <b/>
        <i/>
        <vertAlign val="subscript"/>
        <sz val="11"/>
        <color theme="1"/>
        <rFont val="Calibri"/>
        <family val="2"/>
      </rPr>
      <t>s</t>
    </r>
  </si>
  <si>
    <t>Cutting Width</t>
  </si>
  <si>
    <t>w</t>
  </si>
  <si>
    <t>iteration</t>
  </si>
  <si>
    <t>Low Pe</t>
  </si>
  <si>
    <t>High Pe</t>
  </si>
  <si>
    <t>Cutting Force</t>
  </si>
  <si>
    <r>
      <t>F</t>
    </r>
    <r>
      <rPr>
        <b/>
        <i/>
        <vertAlign val="subscript"/>
        <sz val="11"/>
        <color theme="1"/>
        <rFont val="Calibri"/>
        <family val="2"/>
      </rPr>
      <t>c</t>
    </r>
  </si>
  <si>
    <t>N</t>
  </si>
  <si>
    <t>Initial Temperature Guess</t>
  </si>
  <si>
    <r>
      <t>T</t>
    </r>
    <r>
      <rPr>
        <b/>
        <i/>
        <vertAlign val="subscript"/>
        <sz val="11"/>
        <color theme="1"/>
        <rFont val="Calibri"/>
        <family val="2"/>
      </rPr>
      <t>i</t>
    </r>
  </si>
  <si>
    <r>
      <rPr>
        <sz val="11"/>
        <color theme="1"/>
        <rFont val="Arial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</si>
  <si>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Second Iteration</t>
  </si>
  <si>
    <t>Third Iteration</t>
  </si>
  <si>
    <t>Fourth Iteration</t>
  </si>
  <si>
    <t>Fifth Iteration</t>
  </si>
  <si>
    <t>Shear Plane Calculations</t>
  </si>
  <si>
    <t>First Iteration Calculations</t>
  </si>
  <si>
    <t>Low Pe&lt;5</t>
  </si>
  <si>
    <t>High Pe&gt;5</t>
  </si>
  <si>
    <t>Average Temperatures</t>
  </si>
  <si>
    <t>Cutting Speed</t>
  </si>
  <si>
    <t>Initial Temperature</t>
  </si>
  <si>
    <t>Thermal Conductivity</t>
  </si>
  <si>
    <t>Heat Capacity</t>
  </si>
  <si>
    <t>Thermal Number</t>
  </si>
  <si>
    <t>Thermal Layer</t>
  </si>
  <si>
    <t>Internal Friction Source Length</t>
  </si>
  <si>
    <t>Effective Thermal Contact Length</t>
  </si>
  <si>
    <t>Constant</t>
  </si>
  <si>
    <t>Flash Temperature (Pe&lt;5)</t>
  </si>
  <si>
    <t>Flash Temperature (Pe&gt;5)</t>
  </si>
  <si>
    <r>
      <t xml:space="preserve">Average </t>
    </r>
    <r>
      <rPr>
        <b/>
        <sz val="11"/>
        <color theme="1"/>
        <rFont val="Calibri"/>
        <family val="2"/>
        <scheme val="minor"/>
      </rPr>
      <t>Pe</t>
    </r>
  </si>
  <si>
    <t xml:space="preserve">Low Pe </t>
  </si>
  <si>
    <t>Final Temperature</t>
  </si>
  <si>
    <r>
      <t>v</t>
    </r>
    <r>
      <rPr>
        <vertAlign val="subscript"/>
        <sz val="11"/>
        <color theme="1"/>
        <rFont val="Calibri"/>
        <family val="2"/>
        <scheme val="minor"/>
      </rPr>
      <t>c</t>
    </r>
  </si>
  <si>
    <t>Ti</t>
  </si>
  <si>
    <t>k</t>
  </si>
  <si>
    <t>cp</t>
  </si>
  <si>
    <t>Pe(shear)</t>
  </si>
  <si>
    <t>δT</t>
  </si>
  <si>
    <t>lint</t>
  </si>
  <si>
    <t>R(workpiece)</t>
  </si>
  <si>
    <t>Pe(work)</t>
  </si>
  <si>
    <t>Tf</t>
  </si>
  <si>
    <t>[m/min]</t>
  </si>
  <si>
    <t>[m/s]</t>
  </si>
  <si>
    <t>unitless</t>
  </si>
  <si>
    <t>%</t>
  </si>
  <si>
    <t>C</t>
  </si>
  <si>
    <t>Calibration Factor low Pe</t>
  </si>
  <si>
    <r>
      <t>a</t>
    </r>
    <r>
      <rPr>
        <b/>
        <i/>
        <vertAlign val="subscript"/>
        <sz val="11"/>
        <color rgb="FF0070C0"/>
        <rFont val="Calibri"/>
        <family val="2"/>
      </rPr>
      <t>1</t>
    </r>
  </si>
  <si>
    <t>Calibration Factor high Pe</t>
  </si>
  <si>
    <r>
      <t>a</t>
    </r>
    <r>
      <rPr>
        <b/>
        <i/>
        <vertAlign val="subscript"/>
        <sz val="11"/>
        <color rgb="FFFF0000"/>
        <rFont val="Calibri"/>
        <family val="2"/>
      </rPr>
      <t>2</t>
    </r>
  </si>
  <si>
    <t>Heat Partition</t>
  </si>
  <si>
    <t>um</t>
  </si>
  <si>
    <t>Resultant Force</t>
  </si>
  <si>
    <t>Feed Force</t>
  </si>
  <si>
    <t>Fc</t>
  </si>
  <si>
    <t>Ff</t>
  </si>
  <si>
    <r>
      <t>F</t>
    </r>
    <r>
      <rPr>
        <b/>
        <i/>
        <vertAlign val="subscript"/>
        <sz val="11"/>
        <color theme="1"/>
        <rFont val="Calibri"/>
        <family val="2"/>
      </rPr>
      <t>r</t>
    </r>
  </si>
  <si>
    <t>Final Flash Temperature</t>
  </si>
  <si>
    <t>forces updated 11/11/2024</t>
  </si>
  <si>
    <t>80% Tf</t>
  </si>
  <si>
    <t>dRS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</si>
</sst>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E+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i/>
      <sz val="11"/>
      <color theme="1"/>
      <name val="Arial"/>
      <family val="2"/>
    </font>
    <font>
      <b/>
      <i/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sz val="11"/>
      <color theme="0"/>
      <name val="Calibri"/>
      <family val="2"/>
      <scheme val="minor"/>
    </font>
    <font>
      <b/>
      <i/>
      <sz val="11"/>
      <color rgb="FF0070C0"/>
      <name val="Calibri"/>
      <family val="2"/>
    </font>
    <font>
      <b/>
      <i/>
      <vertAlign val="subscript"/>
      <sz val="11"/>
      <color rgb="FF0070C0"/>
      <name val="Calibri"/>
      <family val="2"/>
    </font>
    <font>
      <b/>
      <i/>
      <sz val="11"/>
      <color rgb="FFFF0000"/>
      <name val="Calibri"/>
      <family val="2"/>
    </font>
    <font>
      <b/>
      <i/>
      <vertAlign val="subscript"/>
      <sz val="11"/>
      <color rgb="FFFF0000"/>
      <name val="Calibri"/>
      <family val="2"/>
    </font>
    <font>
      <i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1" fontId="0" fillId="0" borderId="0" xfId="0" applyNumberFormat="1"/>
    <xf numFmtId="11" fontId="0" fillId="0" borderId="0" xfId="0" applyNumberFormat="1"/>
    <xf numFmtId="0" fontId="4" fillId="0" borderId="0" xfId="0" applyFont="1"/>
    <xf numFmtId="165" fontId="0" fillId="0" borderId="0" xfId="0" applyNumberFormat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7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0" fillId="2" borderId="2" xfId="0" applyFill="1" applyBorder="1"/>
    <xf numFmtId="0" fontId="0" fillId="2" borderId="0" xfId="0" applyFill="1"/>
    <xf numFmtId="165" fontId="0" fillId="2" borderId="0" xfId="0" applyNumberFormat="1" applyFill="1"/>
    <xf numFmtId="0" fontId="0" fillId="2" borderId="7" xfId="0" applyFill="1" applyBorder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1" fontId="0" fillId="2" borderId="0" xfId="0" applyNumberFormat="1" applyFill="1"/>
    <xf numFmtId="9" fontId="0" fillId="0" borderId="0" xfId="1" applyFont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1" fontId="11" fillId="0" borderId="0" xfId="0" applyNumberFormat="1" applyFont="1"/>
    <xf numFmtId="2" fontId="11" fillId="0" borderId="0" xfId="0" applyNumberFormat="1" applyFont="1"/>
    <xf numFmtId="0" fontId="4" fillId="0" borderId="0" xfId="0" applyFont="1" applyAlignment="1">
      <alignment wrapText="1"/>
    </xf>
    <xf numFmtId="0" fontId="13" fillId="0" borderId="0" xfId="0" applyFont="1"/>
    <xf numFmtId="1" fontId="4" fillId="0" borderId="0" xfId="0" applyNumberFormat="1" applyFont="1"/>
    <xf numFmtId="2" fontId="4" fillId="0" borderId="0" xfId="0" applyNumberFormat="1" applyFont="1"/>
    <xf numFmtId="0" fontId="1" fillId="0" borderId="0" xfId="0" applyFont="1"/>
    <xf numFmtId="1" fontId="14" fillId="0" borderId="0" xfId="0" applyNumberFormat="1" applyFont="1"/>
    <xf numFmtId="1" fontId="15" fillId="0" borderId="0" xfId="0" applyNumberFormat="1" applyFont="1"/>
    <xf numFmtId="0" fontId="16" fillId="0" borderId="0" xfId="0" applyFont="1" applyAlignment="1">
      <alignment wrapText="1"/>
    </xf>
    <xf numFmtId="0" fontId="17" fillId="0" borderId="0" xfId="0" applyFont="1"/>
    <xf numFmtId="0" fontId="16" fillId="0" borderId="0" xfId="0" applyFont="1"/>
    <xf numFmtId="1" fontId="16" fillId="0" borderId="0" xfId="0" applyNumberFormat="1" applyFont="1"/>
    <xf numFmtId="9" fontId="18" fillId="3" borderId="0" xfId="1" applyFont="1" applyFill="1"/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5" fontId="4" fillId="2" borderId="0" xfId="0" applyNumberFormat="1" applyFont="1" applyFill="1"/>
    <xf numFmtId="1" fontId="16" fillId="2" borderId="0" xfId="0" applyNumberFormat="1" applyFont="1" applyFill="1"/>
    <xf numFmtId="11" fontId="23" fillId="0" borderId="0" xfId="0" applyNumberFormat="1" applyFont="1"/>
    <xf numFmtId="166" fontId="0" fillId="0" borderId="0" xfId="0" applyNumberFormat="1"/>
    <xf numFmtId="165" fontId="11" fillId="0" borderId="0" xfId="0" applyNumberFormat="1" applyFont="1"/>
    <xf numFmtId="165" fontId="4" fillId="0" borderId="0" xfId="0" applyNumberFormat="1" applyFont="1"/>
    <xf numFmtId="2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B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'OLD APPROACH'!$AZ$11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'OLD APPROACH'!$AY$12:$AY$16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'OLD APPROACH'!$AZ$12:$AZ$16</c:f>
              <c:numCache>
                <c:formatCode>0</c:formatCode>
                <c:ptCount val="5"/>
                <c:pt idx="0">
                  <c:v>119.03680732899932</c:v>
                </c:pt>
                <c:pt idx="1">
                  <c:v>143.38408243347175</c:v>
                </c:pt>
                <c:pt idx="2">
                  <c:v>138.48499846877903</c:v>
                </c:pt>
                <c:pt idx="3">
                  <c:v>139.4561111792938</c:v>
                </c:pt>
                <c:pt idx="4">
                  <c:v>139.26303502862675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A-4172-80E3-8989B5B77A1A}"/>
            </c:ext>
          </c:extLst>
        </c:ser>
        <c:ser>
          <c:idx val="1"/>
          <c:order val="1"/>
          <c:tx>
            <c:strRef>
              <c:f>'OLD APPROACH'!$BA$11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'OLD APPROACH'!$AY$12:$AY$16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'OLD APPROACH'!$BA$12:$BA$16</c:f>
              <c:numCache>
                <c:formatCode>0</c:formatCode>
                <c:ptCount val="5"/>
                <c:pt idx="0">
                  <c:v>80.086903765316848</c:v>
                </c:pt>
                <c:pt idx="1">
                  <c:v>188.63758524757375</c:v>
                </c:pt>
                <c:pt idx="2">
                  <c:v>169.10507336588341</c:v>
                </c:pt>
                <c:pt idx="3">
                  <c:v>172.21682493021768</c:v>
                </c:pt>
                <c:pt idx="4">
                  <c:v>171.71110160054297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3A-4172-80E3-8989B5B7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'OLD APPROACH'!$C$9</c:f>
              <c:strCache>
                <c:ptCount val="1"/>
                <c:pt idx="0">
                  <c:v>0.100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FFFF00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6928477690288716"/>
                  <c:y val="-9.36016331291921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'OLD APPROACH'!$B$21:$B$70</c:f>
              <c:numCache>
                <c:formatCode>General</c:formatCode>
                <c:ptCount val="50"/>
                <c:pt idx="0">
                  <c:v>0.05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'OLD APPROACH'!$BB$21:$BB$70</c:f>
              <c:numCache>
                <c:formatCode>0</c:formatCode>
                <c:ptCount val="50"/>
                <c:pt idx="0">
                  <c:v>140.14705677754284</c:v>
                </c:pt>
                <c:pt idx="1">
                  <c:v>227.36649130945761</c:v>
                </c:pt>
                <c:pt idx="2">
                  <c:v>265.96512900634349</c:v>
                </c:pt>
                <c:pt idx="3">
                  <c:v>301.65798214363753</c:v>
                </c:pt>
                <c:pt idx="4">
                  <c:v>321.14308776177865</c:v>
                </c:pt>
                <c:pt idx="5">
                  <c:v>336.51391794358454</c:v>
                </c:pt>
                <c:pt idx="6">
                  <c:v>349.68965376376013</c:v>
                </c:pt>
                <c:pt idx="7">
                  <c:v>361.29555932170399</c:v>
                </c:pt>
                <c:pt idx="8">
                  <c:v>371.67963978735338</c:v>
                </c:pt>
                <c:pt idx="9">
                  <c:v>381.07764442767586</c:v>
                </c:pt>
                <c:pt idx="10">
                  <c:v>389.66083191978623</c:v>
                </c:pt>
                <c:pt idx="11">
                  <c:v>397.55836333287084</c:v>
                </c:pt>
                <c:pt idx="12">
                  <c:v>404.8703208397572</c:v>
                </c:pt>
                <c:pt idx="13">
                  <c:v>411.67596092478351</c:v>
                </c:pt>
                <c:pt idx="14">
                  <c:v>418.0392003181841</c:v>
                </c:pt>
                <c:pt idx="15">
                  <c:v>424.01238975355636</c:v>
                </c:pt>
                <c:pt idx="16">
                  <c:v>429.63898367361344</c:v>
                </c:pt>
                <c:pt idx="17">
                  <c:v>434.95547451740748</c:v>
                </c:pt>
                <c:pt idx="18">
                  <c:v>439.99282351386233</c:v>
                </c:pt>
                <c:pt idx="19">
                  <c:v>444.77753846065741</c:v>
                </c:pt>
                <c:pt idx="20">
                  <c:v>449.33249875769638</c:v>
                </c:pt>
                <c:pt idx="21">
                  <c:v>453.67759609169491</c:v>
                </c:pt>
                <c:pt idx="22">
                  <c:v>457.83023840884346</c:v>
                </c:pt>
                <c:pt idx="23">
                  <c:v>461.80575097822106</c:v>
                </c:pt>
                <c:pt idx="24">
                  <c:v>465.61769893829216</c:v>
                </c:pt>
                <c:pt idx="25">
                  <c:v>469.27814919807992</c:v>
                </c:pt>
                <c:pt idx="26">
                  <c:v>472.79788496962885</c:v>
                </c:pt>
                <c:pt idx="27">
                  <c:v>476.18658292047138</c:v>
                </c:pt>
                <c:pt idx="28">
                  <c:v>479.45296054895414</c:v>
                </c:pt>
                <c:pt idx="29">
                  <c:v>482.60489963156914</c:v>
                </c:pt>
                <c:pt idx="30">
                  <c:v>485.64955028694794</c:v>
                </c:pt>
                <c:pt idx="31">
                  <c:v>488.59341922013971</c:v>
                </c:pt>
                <c:pt idx="32">
                  <c:v>491.44244496543877</c:v>
                </c:pt>
                <c:pt idx="33">
                  <c:v>494.20206237432546</c:v>
                </c:pt>
                <c:pt idx="34">
                  <c:v>496.87725815269357</c:v>
                </c:pt>
                <c:pt idx="35">
                  <c:v>499.47261890634911</c:v>
                </c:pt>
                <c:pt idx="36">
                  <c:v>501.99237288234235</c:v>
                </c:pt>
                <c:pt idx="37">
                  <c:v>504.44042637868984</c:v>
                </c:pt>
                <c:pt idx="38">
                  <c:v>506.82039562358068</c:v>
                </c:pt>
                <c:pt idx="39">
                  <c:v>509.13563478752303</c:v>
                </c:pt>
                <c:pt idx="40">
                  <c:v>511.38926068072971</c:v>
                </c:pt>
                <c:pt idx="41">
                  <c:v>513.58417459774762</c:v>
                </c:pt>
                <c:pt idx="42">
                  <c:v>515.72308169759344</c:v>
                </c:pt>
                <c:pt idx="43">
                  <c:v>517.80850824711399</c:v>
                </c:pt>
                <c:pt idx="44">
                  <c:v>519.84281700534098</c:v>
                </c:pt>
                <c:pt idx="45">
                  <c:v>521.82822098520501</c:v>
                </c:pt>
                <c:pt idx="46">
                  <c:v>523.76679579450354</c:v>
                </c:pt>
                <c:pt idx="47">
                  <c:v>525.66049072919373</c:v>
                </c:pt>
                <c:pt idx="48">
                  <c:v>527.51113876788145</c:v>
                </c:pt>
                <c:pt idx="49">
                  <c:v>529.32046559598268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90-4EF0-9B98-74B5864A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</c:valAx>
      <c:valAx>
        <c:axId val="374360736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Flash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44335083114612"/>
          <c:y val="0.6067799328987119"/>
          <c:w val="0.24033442694663168"/>
          <c:h val="0.14768081073199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3.995434508221786E-2"/>
          <c:w val="0.88386351706036748"/>
          <c:h val="0.863363061043947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(h250)'!$AZ$11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(h250)'!$AY$12:$AY$16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'NEW APPROACH (h250)'!$AZ$12:$AZ$16</c:f>
              <c:numCache>
                <c:formatCode>0</c:formatCode>
                <c:ptCount val="5"/>
                <c:pt idx="0">
                  <c:v>494.56254876764592</c:v>
                </c:pt>
                <c:pt idx="1">
                  <c:v>335.04274899881506</c:v>
                </c:pt>
                <c:pt idx="2">
                  <c:v>409.09408519899546</c:v>
                </c:pt>
                <c:pt idx="3">
                  <c:v>373.16170419067424</c:v>
                </c:pt>
                <c:pt idx="4">
                  <c:v>390.24789830864574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FF-4E92-BC49-0272EC95711B}"/>
            </c:ext>
          </c:extLst>
        </c:ser>
        <c:ser>
          <c:idx val="1"/>
          <c:order val="1"/>
          <c:tx>
            <c:strRef>
              <c:f>'NEW APPROACH (h250)'!$BA$11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(h250)'!$AY$12:$AY$16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'NEW APPROACH (h250)'!$BA$12:$BA$16</c:f>
              <c:numCache>
                <c:formatCode>0</c:formatCode>
                <c:ptCount val="5"/>
                <c:pt idx="0">
                  <c:v>247.34210642864178</c:v>
                </c:pt>
                <c:pt idx="1">
                  <c:v>465.88130823030667</c:v>
                </c:pt>
                <c:pt idx="2">
                  <c:v>389.74120535546854</c:v>
                </c:pt>
                <c:pt idx="3">
                  <c:v>414.74998626166621</c:v>
                </c:pt>
                <c:pt idx="4">
                  <c:v>406.47588375634291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FF-4E92-BC49-0272EC95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17130251910844"/>
          <c:y val="0.116157464644047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(h250)'!$C$9</c:f>
              <c:strCache>
                <c:ptCount val="1"/>
                <c:pt idx="0">
                  <c:v>0.250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  <a:prstDash val="solid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0048289702436388"/>
                  <c:y val="6.39254462273265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APPROACH (h250)'!$A$23:$A$72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(h250)'!$BB$23:$BB$72</c:f>
              <c:numCache>
                <c:formatCode>0</c:formatCode>
                <c:ptCount val="50"/>
                <c:pt idx="0">
                  <c:v>376.88660917428263</c:v>
                </c:pt>
                <c:pt idx="1">
                  <c:v>498.12928208960005</c:v>
                </c:pt>
                <c:pt idx="2">
                  <c:v>572.55581302411076</c:v>
                </c:pt>
                <c:pt idx="3">
                  <c:v>624.71798572891282</c:v>
                </c:pt>
                <c:pt idx="4">
                  <c:v>656.45482969864668</c:v>
                </c:pt>
                <c:pt idx="5">
                  <c:v>680.728890296381</c:v>
                </c:pt>
                <c:pt idx="6">
                  <c:v>700.45521481257458</c:v>
                </c:pt>
                <c:pt idx="7">
                  <c:v>717.01528589428381</c:v>
                </c:pt>
                <c:pt idx="8">
                  <c:v>731.2815208904666</c:v>
                </c:pt>
                <c:pt idx="9">
                  <c:v>743.84642330688121</c:v>
                </c:pt>
                <c:pt idx="10">
                  <c:v>755.12522700953218</c:v>
                </c:pt>
                <c:pt idx="11">
                  <c:v>765.41520456672333</c:v>
                </c:pt>
                <c:pt idx="12">
                  <c:v>774.9328175398</c:v>
                </c:pt>
                <c:pt idx="13">
                  <c:v>783.83798359933689</c:v>
                </c:pt>
                <c:pt idx="14">
                  <c:v>792.25038486524068</c:v>
                </c:pt>
                <c:pt idx="15">
                  <c:v>800.26066235524479</c:v>
                </c:pt>
                <c:pt idx="16">
                  <c:v>807.9382307975153</c:v>
                </c:pt>
                <c:pt idx="17">
                  <c:v>815.33681196957116</c:v>
                </c:pt>
                <c:pt idx="18">
                  <c:v>822.49840158835786</c:v>
                </c:pt>
                <c:pt idx="19">
                  <c:v>829.45614531944511</c:v>
                </c:pt>
                <c:pt idx="20">
                  <c:v>836.23644563570645</c:v>
                </c:pt>
                <c:pt idx="21">
                  <c:v>842.86052030333371</c:v>
                </c:pt>
                <c:pt idx="22">
                  <c:v>849.34556588578312</c:v>
                </c:pt>
                <c:pt idx="23">
                  <c:v>855.70563402701987</c:v>
                </c:pt>
                <c:pt idx="24">
                  <c:v>861.95229699300785</c:v>
                </c:pt>
                <c:pt idx="25">
                  <c:v>868.09515726423308</c:v>
                </c:pt>
                <c:pt idx="26">
                  <c:v>874.14224078493498</c:v>
                </c:pt>
                <c:pt idx="27">
                  <c:v>880.10030273818143</c:v>
                </c:pt>
                <c:pt idx="28">
                  <c:v>885.97506705830392</c:v>
                </c:pt>
                <c:pt idx="29">
                  <c:v>891.77141538467617</c:v>
                </c:pt>
                <c:pt idx="30">
                  <c:v>897.49353716815949</c:v>
                </c:pt>
                <c:pt idx="31">
                  <c:v>903.14504972505006</c:v>
                </c:pt>
                <c:pt idx="32">
                  <c:v>908.7290948875999</c:v>
                </c:pt>
                <c:pt idx="33">
                  <c:v>914.24841731048627</c:v>
                </c:pt>
                <c:pt idx="34">
                  <c:v>919.7054283071086</c:v>
                </c:pt>
                <c:pt idx="35">
                  <c:v>925.10225819985453</c:v>
                </c:pt>
                <c:pt idx="36">
                  <c:v>930.44079949670345</c:v>
                </c:pt>
                <c:pt idx="37">
                  <c:v>935.72274269631043</c:v>
                </c:pt>
                <c:pt idx="38">
                  <c:v>940.94960613403123</c:v>
                </c:pt>
                <c:pt idx="39">
                  <c:v>946.12276098211623</c:v>
                </c:pt>
                <c:pt idx="40">
                  <c:v>951.24345228631114</c:v>
                </c:pt>
                <c:pt idx="41">
                  <c:v>956.31281674188097</c:v>
                </c:pt>
                <c:pt idx="42">
                  <c:v>961.33189777234645</c:v>
                </c:pt>
                <c:pt idx="43">
                  <c:v>966.30165836473543</c:v>
                </c:pt>
                <c:pt idx="44">
                  <c:v>971.22299202897045</c:v>
                </c:pt>
                <c:pt idx="45">
                  <c:v>976.09673218084242</c:v>
                </c:pt>
                <c:pt idx="46">
                  <c:v>980.92366019384463</c:v>
                </c:pt>
                <c:pt idx="47">
                  <c:v>985.7045123218893</c:v>
                </c:pt>
                <c:pt idx="48">
                  <c:v>990.43998566021514</c:v>
                </c:pt>
                <c:pt idx="49">
                  <c:v>1280.0560695774759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D7-482F-B680-1758267EC618}"/>
            </c:ext>
          </c:extLst>
        </c:ser>
        <c:ser>
          <c:idx val="1"/>
          <c:order val="1"/>
          <c:tx>
            <c:strRef>
              <c:f>#REF!$C$9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0487751531058618E-3"/>
                  <c:y val="-2.7630869058034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#REF!$A$21:$A$70</c:f>
            </c:numRef>
          </c:xVal>
          <c:yVal>
            <c:numRef>
              <c:f>#REF!$BB$21:$BB$70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D7-482F-B680-1758267EC618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D7-482F-B680-1758267EC618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D7-482F-B680-1758267EC618}"/>
            </c:ext>
          </c:extLst>
        </c:ser>
        <c:ser>
          <c:idx val="4"/>
          <c:order val="4"/>
          <c:tx>
            <c:v>0.05 DATA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'NEW APPROACH (h250)'!$P$5:$P$9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'NEW APPROACH (h250)'!$Q$5:$Q$9</c:f>
              <c:numCache>
                <c:formatCode>General</c:formatCode>
                <c:ptCount val="5"/>
                <c:pt idx="0">
                  <c:v>360</c:v>
                </c:pt>
                <c:pt idx="1">
                  <c:v>400</c:v>
                </c:pt>
                <c:pt idx="2">
                  <c:v>430</c:v>
                </c:pt>
                <c:pt idx="3">
                  <c:v>470</c:v>
                </c:pt>
                <c:pt idx="4">
                  <c:v>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D7-482F-B680-1758267EC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Peak Flank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3548797025371828"/>
          <c:y val="0.69490740740740742"/>
          <c:w val="0.36451202974628172"/>
          <c:h val="0.14073636628754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(h250)'!$H$2</c:f>
              <c:strCache>
                <c:ptCount val="1"/>
                <c:pt idx="0">
                  <c:v>Tc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9625853018372703"/>
                  <c:y val="-0.49125801983085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APPROACH (h250)'!$G$6:$G$10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0.02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</c:numCache>
            </c:numRef>
          </c:xVal>
          <c:yVal>
            <c:numRef>
              <c:f>'NEW APPROACH (h250)'!$L$6:$L$10</c:f>
              <c:numCache>
                <c:formatCode>0</c:formatCode>
                <c:ptCount val="5"/>
                <c:pt idx="0">
                  <c:v>1025.2890526077817</c:v>
                </c:pt>
                <c:pt idx="1">
                  <c:v>423.79676319027556</c:v>
                </c:pt>
                <c:pt idx="2">
                  <c:v>141.11803349543737</c:v>
                </c:pt>
                <c:pt idx="3">
                  <c:v>42.438169977019697</c:v>
                </c:pt>
                <c:pt idx="4">
                  <c:v>31.522322727003868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1A-4D4D-B8B6-92D5B1FD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0.1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Uncut Chip Thickness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h</a:t>
                </a:r>
                <a:r>
                  <a:rPr lang="en-US">
                    <a:solidFill>
                      <a:schemeClr val="tx1"/>
                    </a:solidFill>
                  </a:rPr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2.5000000000000005E-2"/>
      </c:valAx>
      <c:valAx>
        <c:axId val="374360736"/>
        <c:scaling>
          <c:orientation val="minMax"/>
          <c:max val="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Limiting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m/min]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319335083114622E-3"/>
              <c:y val="0.1951082677165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(h250)'!$BH$26:$BH$28</c:f>
              <c:numCache>
                <c:formatCode>General</c:formatCode>
                <c:ptCount val="3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'NEW APPROACH (h250)'!$BI$26:$BI$28</c:f>
              <c:numCache>
                <c:formatCode>General</c:formatCode>
                <c:ptCount val="3"/>
                <c:pt idx="0">
                  <c:v>1020</c:v>
                </c:pt>
                <c:pt idx="1">
                  <c:v>350</c:v>
                </c:pt>
                <c:pt idx="2">
                  <c:v>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D-4820-AC1C-316831F5A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56800"/>
        <c:axId val="713457632"/>
      </c:scatterChart>
      <c:valAx>
        <c:axId val="71345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in Microns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7632"/>
        <c:crosses val="autoZero"/>
        <c:crossBetween val="midCat"/>
      </c:valAx>
      <c:valAx>
        <c:axId val="7134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Speed in m/min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7130251910844"/>
          <c:y val="0.116157464644047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f = 0.01mm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'NEW APPROACH (h250)'!$A$23:$A$72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(h250)'!$BB$23:$BB$72</c:f>
              <c:numCache>
                <c:formatCode>0</c:formatCode>
                <c:ptCount val="50"/>
                <c:pt idx="0">
                  <c:v>376.88660917428263</c:v>
                </c:pt>
                <c:pt idx="1">
                  <c:v>498.12928208960005</c:v>
                </c:pt>
                <c:pt idx="2">
                  <c:v>572.55581302411076</c:v>
                </c:pt>
                <c:pt idx="3">
                  <c:v>624.71798572891282</c:v>
                </c:pt>
                <c:pt idx="4">
                  <c:v>656.45482969864668</c:v>
                </c:pt>
                <c:pt idx="5">
                  <c:v>680.728890296381</c:v>
                </c:pt>
                <c:pt idx="6">
                  <c:v>700.45521481257458</c:v>
                </c:pt>
                <c:pt idx="7">
                  <c:v>717.01528589428381</c:v>
                </c:pt>
                <c:pt idx="8">
                  <c:v>731.2815208904666</c:v>
                </c:pt>
                <c:pt idx="9">
                  <c:v>743.84642330688121</c:v>
                </c:pt>
                <c:pt idx="10">
                  <c:v>755.12522700953218</c:v>
                </c:pt>
                <c:pt idx="11">
                  <c:v>765.41520456672333</c:v>
                </c:pt>
                <c:pt idx="12">
                  <c:v>774.9328175398</c:v>
                </c:pt>
                <c:pt idx="13">
                  <c:v>783.83798359933689</c:v>
                </c:pt>
                <c:pt idx="14">
                  <c:v>792.25038486524068</c:v>
                </c:pt>
                <c:pt idx="15">
                  <c:v>800.26066235524479</c:v>
                </c:pt>
                <c:pt idx="16">
                  <c:v>807.9382307975153</c:v>
                </c:pt>
                <c:pt idx="17">
                  <c:v>815.33681196957116</c:v>
                </c:pt>
                <c:pt idx="18">
                  <c:v>822.49840158835786</c:v>
                </c:pt>
                <c:pt idx="19">
                  <c:v>829.45614531944511</c:v>
                </c:pt>
                <c:pt idx="20">
                  <c:v>836.23644563570645</c:v>
                </c:pt>
                <c:pt idx="21">
                  <c:v>842.86052030333371</c:v>
                </c:pt>
                <c:pt idx="22">
                  <c:v>849.34556588578312</c:v>
                </c:pt>
                <c:pt idx="23">
                  <c:v>855.70563402701987</c:v>
                </c:pt>
                <c:pt idx="24">
                  <c:v>861.95229699300785</c:v>
                </c:pt>
                <c:pt idx="25">
                  <c:v>868.09515726423308</c:v>
                </c:pt>
                <c:pt idx="26">
                  <c:v>874.14224078493498</c:v>
                </c:pt>
                <c:pt idx="27">
                  <c:v>880.10030273818143</c:v>
                </c:pt>
                <c:pt idx="28">
                  <c:v>885.97506705830392</c:v>
                </c:pt>
                <c:pt idx="29">
                  <c:v>891.77141538467617</c:v>
                </c:pt>
                <c:pt idx="30">
                  <c:v>897.49353716815949</c:v>
                </c:pt>
                <c:pt idx="31">
                  <c:v>903.14504972505006</c:v>
                </c:pt>
                <c:pt idx="32">
                  <c:v>908.7290948875999</c:v>
                </c:pt>
                <c:pt idx="33">
                  <c:v>914.24841731048627</c:v>
                </c:pt>
                <c:pt idx="34">
                  <c:v>919.7054283071086</c:v>
                </c:pt>
                <c:pt idx="35">
                  <c:v>925.10225819985453</c:v>
                </c:pt>
                <c:pt idx="36">
                  <c:v>930.44079949670345</c:v>
                </c:pt>
                <c:pt idx="37">
                  <c:v>935.72274269631043</c:v>
                </c:pt>
                <c:pt idx="38">
                  <c:v>940.94960613403123</c:v>
                </c:pt>
                <c:pt idx="39">
                  <c:v>946.12276098211623</c:v>
                </c:pt>
                <c:pt idx="40">
                  <c:v>951.24345228631114</c:v>
                </c:pt>
                <c:pt idx="41">
                  <c:v>956.31281674188097</c:v>
                </c:pt>
                <c:pt idx="42">
                  <c:v>961.33189777234645</c:v>
                </c:pt>
                <c:pt idx="43">
                  <c:v>966.30165836473543</c:v>
                </c:pt>
                <c:pt idx="44">
                  <c:v>971.22299202897045</c:v>
                </c:pt>
                <c:pt idx="45">
                  <c:v>976.09673218084242</c:v>
                </c:pt>
                <c:pt idx="46">
                  <c:v>980.92366019384463</c:v>
                </c:pt>
                <c:pt idx="47">
                  <c:v>985.7045123218893</c:v>
                </c:pt>
                <c:pt idx="48">
                  <c:v>990.43998566021514</c:v>
                </c:pt>
                <c:pt idx="49">
                  <c:v>1280.0560695774759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80-42F3-8670-52D32A71B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#REF!$C$9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rgbClr val="0070C0"/>
                      </a:solidFill>
                      <a:prstDash val="solid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1.0487751531058618E-3"/>
                        <c:y val="-2.7630869058034413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rgbClr val="0070C0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#REF!$A$21:$A$70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#REF!$BB$21:$BB$70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880-42F3-8670-52D32A71B96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880-42F3-8670-52D32A71B96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880-42F3-8670-52D32A71B96A}"/>
                  </c:ext>
                </c:extLst>
              </c15:ser>
            </c15:filteredScatterSeries>
          </c:ext>
        </c:extLst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Peak Flank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3.995434508221786E-2"/>
          <c:w val="0.88386351706036748"/>
          <c:h val="0.863363061043947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(h50)'!$AZ$11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(h50)'!$AY$12:$AY$16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'NEW APPROACH (h50)'!$AZ$12:$AZ$16</c:f>
              <c:numCache>
                <c:formatCode>0</c:formatCode>
                <c:ptCount val="5"/>
                <c:pt idx="0">
                  <c:v>311.06761985262335</c:v>
                </c:pt>
                <c:pt idx="1">
                  <c:v>257.60733844432917</c:v>
                </c:pt>
                <c:pt idx="2">
                  <c:v>278.13018505946576</c:v>
                </c:pt>
                <c:pt idx="3">
                  <c:v>270.05235802022469</c:v>
                </c:pt>
                <c:pt idx="4">
                  <c:v>273.20158784823701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B9-453B-89A1-AD70EBA00CE2}"/>
            </c:ext>
          </c:extLst>
        </c:ser>
        <c:ser>
          <c:idx val="1"/>
          <c:order val="1"/>
          <c:tx>
            <c:strRef>
              <c:f>'NEW APPROACH (h50)'!$BA$11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(h50)'!$AY$12:$AY$16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'NEW APPROACH (h50)'!$BA$12:$BA$16</c:f>
              <c:numCache>
                <c:formatCode>0</c:formatCode>
                <c:ptCount val="5"/>
                <c:pt idx="0">
                  <c:v>196.54990435692045</c:v>
                </c:pt>
                <c:pt idx="1">
                  <c:v>387.15516439964136</c:v>
                </c:pt>
                <c:pt idx="2">
                  <c:v>330.26501506158996</c:v>
                </c:pt>
                <c:pt idx="3">
                  <c:v>345.68771252519775</c:v>
                </c:pt>
                <c:pt idx="4">
                  <c:v>341.42588073830746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B9-453B-89A1-AD70EBA0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17130251910844"/>
          <c:y val="0.116157464644047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(h50)'!$C$9</c:f>
              <c:strCache>
                <c:ptCount val="1"/>
                <c:pt idx="0">
                  <c:v>0.050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  <a:prstDash val="solid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0048289702436388"/>
                  <c:y val="6.39254462273265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APPROACH (h50)'!$A$23:$A$72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(h50)'!$BB$23:$BB$72</c:f>
              <c:numCache>
                <c:formatCode>0</c:formatCode>
                <c:ptCount val="50"/>
                <c:pt idx="0">
                  <c:v>269.74786734306412</c:v>
                </c:pt>
                <c:pt idx="1">
                  <c:v>359.33731563802644</c:v>
                </c:pt>
                <c:pt idx="2">
                  <c:v>425.52265031710152</c:v>
                </c:pt>
                <c:pt idx="3">
                  <c:v>476.01149189399308</c:v>
                </c:pt>
                <c:pt idx="4">
                  <c:v>516.04452483193211</c:v>
                </c:pt>
                <c:pt idx="5">
                  <c:v>548.75522072037256</c:v>
                </c:pt>
                <c:pt idx="6">
                  <c:v>576.09887829625336</c:v>
                </c:pt>
                <c:pt idx="7">
                  <c:v>599.36332292873658</c:v>
                </c:pt>
                <c:pt idx="8">
                  <c:v>619.436729060571</c:v>
                </c:pt>
                <c:pt idx="9">
                  <c:v>636.95482724370004</c:v>
                </c:pt>
                <c:pt idx="10">
                  <c:v>652.38664196406467</c:v>
                </c:pt>
                <c:pt idx="11">
                  <c:v>666.08705272090378</c:v>
                </c:pt>
                <c:pt idx="12">
                  <c:v>678.33040171426273</c:v>
                </c:pt>
                <c:pt idx="13">
                  <c:v>692.19126793437158</c:v>
                </c:pt>
                <c:pt idx="14">
                  <c:v>700.53698854877769</c:v>
                </c:pt>
                <c:pt idx="15">
                  <c:v>707.98203291285574</c:v>
                </c:pt>
                <c:pt idx="16">
                  <c:v>714.8696415442771</c:v>
                </c:pt>
                <c:pt idx="17">
                  <c:v>721.28593099794966</c:v>
                </c:pt>
                <c:pt idx="18">
                  <c:v>727.29217800753372</c:v>
                </c:pt>
                <c:pt idx="19">
                  <c:v>732.93938668438523</c:v>
                </c:pt>
                <c:pt idx="20">
                  <c:v>738.27070205436019</c:v>
                </c:pt>
                <c:pt idx="21">
                  <c:v>743.32284228238802</c:v>
                </c:pt>
                <c:pt idx="22">
                  <c:v>748.12721184318661</c:v>
                </c:pt>
                <c:pt idx="23">
                  <c:v>752.71079243973236</c:v>
                </c:pt>
                <c:pt idx="24">
                  <c:v>757.09686322415632</c:v>
                </c:pt>
                <c:pt idx="25">
                  <c:v>761.30558760355916</c:v>
                </c:pt>
                <c:pt idx="26">
                  <c:v>765.35449463712689</c:v>
                </c:pt>
                <c:pt idx="27">
                  <c:v>769.25887638033601</c:v>
                </c:pt>
                <c:pt idx="28">
                  <c:v>773.03211765888796</c:v>
                </c:pt>
                <c:pt idx="29">
                  <c:v>776.68597113003057</c:v>
                </c:pt>
                <c:pt idx="30">
                  <c:v>780.23078775627164</c:v>
                </c:pt>
                <c:pt idx="31">
                  <c:v>783.67571073183717</c:v>
                </c:pt>
                <c:pt idx="32">
                  <c:v>787.02883929475206</c:v>
                </c:pt>
                <c:pt idx="33">
                  <c:v>790.29736760602577</c:v>
                </c:pt>
                <c:pt idx="34">
                  <c:v>793.48770289480206</c:v>
                </c:pt>
                <c:pt idx="35">
                  <c:v>796.60556629079178</c:v>
                </c:pt>
                <c:pt idx="36">
                  <c:v>799.65607914577026</c:v>
                </c:pt>
                <c:pt idx="37">
                  <c:v>802.64383714915209</c:v>
                </c:pt>
                <c:pt idx="38">
                  <c:v>805.57297414205425</c:v>
                </c:pt>
                <c:pt idx="39">
                  <c:v>808.44721720951918</c:v>
                </c:pt>
                <c:pt idx="40">
                  <c:v>811.26993436605562</c:v>
                </c:pt>
                <c:pt idx="41">
                  <c:v>814.04417593324365</c:v>
                </c:pt>
                <c:pt idx="42">
                  <c:v>816.77271053036873</c:v>
                </c:pt>
                <c:pt idx="43">
                  <c:v>819.45805645243433</c:v>
                </c:pt>
                <c:pt idx="44">
                  <c:v>822.10250908855437</c:v>
                </c:pt>
                <c:pt idx="45">
                  <c:v>824.70816493296218</c:v>
                </c:pt>
                <c:pt idx="46">
                  <c:v>827.27694265690639</c:v>
                </c:pt>
                <c:pt idx="47">
                  <c:v>829.81060163955431</c:v>
                </c:pt>
                <c:pt idx="48">
                  <c:v>832.3107582972184</c:v>
                </c:pt>
                <c:pt idx="49">
                  <c:v>995.26111052223712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90-49D0-8FAD-647188533FAB}"/>
            </c:ext>
          </c:extLst>
        </c:ser>
        <c:ser>
          <c:idx val="1"/>
          <c:order val="1"/>
          <c:tx>
            <c:strRef>
              <c:f>#REF!$C$9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0487751531058618E-3"/>
                  <c:y val="-2.7630869058034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#REF!$A$21:$A$70</c:f>
            </c:numRef>
          </c:xVal>
          <c:yVal>
            <c:numRef>
              <c:f>#REF!$BB$21:$BB$70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E90-49D0-8FAD-647188533FAB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E90-49D0-8FAD-647188533FAB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E90-49D0-8FAD-647188533FAB}"/>
            </c:ext>
          </c:extLst>
        </c:ser>
        <c:ser>
          <c:idx val="4"/>
          <c:order val="4"/>
          <c:tx>
            <c:v>0.05 DATA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'NEW APPROACH (h50)'!$P$5:$P$9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'NEW APPROACH (h50)'!$Q$5:$Q$9</c:f>
              <c:numCache>
                <c:formatCode>General</c:formatCode>
                <c:ptCount val="5"/>
                <c:pt idx="0">
                  <c:v>360</c:v>
                </c:pt>
                <c:pt idx="1">
                  <c:v>400</c:v>
                </c:pt>
                <c:pt idx="2">
                  <c:v>430</c:v>
                </c:pt>
                <c:pt idx="3">
                  <c:v>470</c:v>
                </c:pt>
                <c:pt idx="4">
                  <c:v>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E90-49D0-8FAD-647188533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Peak Flank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3548797025371828"/>
          <c:y val="0.69490740740740742"/>
          <c:w val="0.36451202974628172"/>
          <c:h val="0.14073636628754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(h50)'!$H$2</c:f>
              <c:strCache>
                <c:ptCount val="1"/>
                <c:pt idx="0">
                  <c:v>Tc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9625853018372703"/>
                  <c:y val="-0.49125801983085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APPROACH (h50)'!$G$6:$G$10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0.02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</c:numCache>
            </c:numRef>
          </c:xVal>
          <c:yVal>
            <c:numRef>
              <c:f>'NEW APPROACH (h50)'!$L$6:$L$10</c:f>
              <c:numCache>
                <c:formatCode>0</c:formatCode>
                <c:ptCount val="5"/>
                <c:pt idx="0">
                  <c:v>1025.2890526077817</c:v>
                </c:pt>
                <c:pt idx="1">
                  <c:v>423.79676319027556</c:v>
                </c:pt>
                <c:pt idx="2">
                  <c:v>141.11803349543737</c:v>
                </c:pt>
                <c:pt idx="3">
                  <c:v>42.438169977019697</c:v>
                </c:pt>
                <c:pt idx="4">
                  <c:v>31.522322727003868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BD-420D-9730-E9E6594A7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0.1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Uncut Chip Thickness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h</a:t>
                </a:r>
                <a:r>
                  <a:rPr lang="en-US">
                    <a:solidFill>
                      <a:schemeClr val="tx1"/>
                    </a:solidFill>
                  </a:rPr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2.5000000000000005E-2"/>
      </c:valAx>
      <c:valAx>
        <c:axId val="374360736"/>
        <c:scaling>
          <c:orientation val="minMax"/>
          <c:max val="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Limiting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m/min]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319335083114622E-3"/>
              <c:y val="0.1951082677165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(h50)'!$BH$26:$BH$28</c:f>
              <c:numCache>
                <c:formatCode>General</c:formatCode>
                <c:ptCount val="3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'NEW APPROACH (h50)'!$BI$26:$BI$28</c:f>
              <c:numCache>
                <c:formatCode>General</c:formatCode>
                <c:ptCount val="3"/>
                <c:pt idx="0">
                  <c:v>1020</c:v>
                </c:pt>
                <c:pt idx="1">
                  <c:v>350</c:v>
                </c:pt>
                <c:pt idx="2">
                  <c:v>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50-4432-9D8E-37B1C852E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56800"/>
        <c:axId val="713457632"/>
      </c:scatterChart>
      <c:valAx>
        <c:axId val="71345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in Microns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7632"/>
        <c:crosses val="autoZero"/>
        <c:crossBetween val="midCat"/>
      </c:valAx>
      <c:valAx>
        <c:axId val="7134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Speed in m/min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7130251910844"/>
          <c:y val="0.116157464644047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v>f = 0.01mm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'NEW APPROACH (h50)'!$A$23:$A$72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(h50)'!$BB$23:$BB$72</c:f>
              <c:numCache>
                <c:formatCode>0</c:formatCode>
                <c:ptCount val="50"/>
                <c:pt idx="0">
                  <c:v>269.74786734306412</c:v>
                </c:pt>
                <c:pt idx="1">
                  <c:v>359.33731563802644</c:v>
                </c:pt>
                <c:pt idx="2">
                  <c:v>425.52265031710152</c:v>
                </c:pt>
                <c:pt idx="3">
                  <c:v>476.01149189399308</c:v>
                </c:pt>
                <c:pt idx="4">
                  <c:v>516.04452483193211</c:v>
                </c:pt>
                <c:pt idx="5">
                  <c:v>548.75522072037256</c:v>
                </c:pt>
                <c:pt idx="6">
                  <c:v>576.09887829625336</c:v>
                </c:pt>
                <c:pt idx="7">
                  <c:v>599.36332292873658</c:v>
                </c:pt>
                <c:pt idx="8">
                  <c:v>619.436729060571</c:v>
                </c:pt>
                <c:pt idx="9">
                  <c:v>636.95482724370004</c:v>
                </c:pt>
                <c:pt idx="10">
                  <c:v>652.38664196406467</c:v>
                </c:pt>
                <c:pt idx="11">
                  <c:v>666.08705272090378</c:v>
                </c:pt>
                <c:pt idx="12">
                  <c:v>678.33040171426273</c:v>
                </c:pt>
                <c:pt idx="13">
                  <c:v>692.19126793437158</c:v>
                </c:pt>
                <c:pt idx="14">
                  <c:v>700.53698854877769</c:v>
                </c:pt>
                <c:pt idx="15">
                  <c:v>707.98203291285574</c:v>
                </c:pt>
                <c:pt idx="16">
                  <c:v>714.8696415442771</c:v>
                </c:pt>
                <c:pt idx="17">
                  <c:v>721.28593099794966</c:v>
                </c:pt>
                <c:pt idx="18">
                  <c:v>727.29217800753372</c:v>
                </c:pt>
                <c:pt idx="19">
                  <c:v>732.93938668438523</c:v>
                </c:pt>
                <c:pt idx="20">
                  <c:v>738.27070205436019</c:v>
                </c:pt>
                <c:pt idx="21">
                  <c:v>743.32284228238802</c:v>
                </c:pt>
                <c:pt idx="22">
                  <c:v>748.12721184318661</c:v>
                </c:pt>
                <c:pt idx="23">
                  <c:v>752.71079243973236</c:v>
                </c:pt>
                <c:pt idx="24">
                  <c:v>757.09686322415632</c:v>
                </c:pt>
                <c:pt idx="25">
                  <c:v>761.30558760355916</c:v>
                </c:pt>
                <c:pt idx="26">
                  <c:v>765.35449463712689</c:v>
                </c:pt>
                <c:pt idx="27">
                  <c:v>769.25887638033601</c:v>
                </c:pt>
                <c:pt idx="28">
                  <c:v>773.03211765888796</c:v>
                </c:pt>
                <c:pt idx="29">
                  <c:v>776.68597113003057</c:v>
                </c:pt>
                <c:pt idx="30">
                  <c:v>780.23078775627164</c:v>
                </c:pt>
                <c:pt idx="31">
                  <c:v>783.67571073183717</c:v>
                </c:pt>
                <c:pt idx="32">
                  <c:v>787.02883929475206</c:v>
                </c:pt>
                <c:pt idx="33">
                  <c:v>790.29736760602577</c:v>
                </c:pt>
                <c:pt idx="34">
                  <c:v>793.48770289480206</c:v>
                </c:pt>
                <c:pt idx="35">
                  <c:v>796.60556629079178</c:v>
                </c:pt>
                <c:pt idx="36">
                  <c:v>799.65607914577026</c:v>
                </c:pt>
                <c:pt idx="37">
                  <c:v>802.64383714915209</c:v>
                </c:pt>
                <c:pt idx="38">
                  <c:v>805.57297414205425</c:v>
                </c:pt>
                <c:pt idx="39">
                  <c:v>808.44721720951918</c:v>
                </c:pt>
                <c:pt idx="40">
                  <c:v>811.26993436605562</c:v>
                </c:pt>
                <c:pt idx="41">
                  <c:v>814.04417593324365</c:v>
                </c:pt>
                <c:pt idx="42">
                  <c:v>816.77271053036873</c:v>
                </c:pt>
                <c:pt idx="43">
                  <c:v>819.45805645243433</c:v>
                </c:pt>
                <c:pt idx="44">
                  <c:v>822.10250908855437</c:v>
                </c:pt>
                <c:pt idx="45">
                  <c:v>824.70816493296218</c:v>
                </c:pt>
                <c:pt idx="46">
                  <c:v>827.27694265690639</c:v>
                </c:pt>
                <c:pt idx="47">
                  <c:v>829.81060163955431</c:v>
                </c:pt>
                <c:pt idx="48">
                  <c:v>832.3107582972184</c:v>
                </c:pt>
                <c:pt idx="49">
                  <c:v>995.26111052223712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FA-4015-9F09-F9F032F9A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#REF!$C$9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trendline>
                  <c:spPr>
                    <a:ln w="19050" cap="rnd">
                      <a:solidFill>
                        <a:srgbClr val="0070C0"/>
                      </a:solidFill>
                      <a:prstDash val="solid"/>
                    </a:ln>
                    <a:effectLst/>
                  </c:spPr>
                  <c:trendlineType val="power"/>
                  <c:dispRSqr val="0"/>
                  <c:dispEq val="1"/>
                  <c:trendlineLbl>
                    <c:layout>
                      <c:manualLayout>
                        <c:x val="-1.0487751531058618E-3"/>
                        <c:y val="-2.7630869058034413E-2"/>
                      </c:manualLayout>
                    </c:layout>
                    <c:numFmt formatCode="General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rgbClr val="0070C0"/>
                            </a:solidFill>
                            <a:latin typeface="Arial" panose="020B0604020202020204" pitchFamily="34" charset="0"/>
                            <a:ea typeface="+mn-ea"/>
                            <a:cs typeface="Arial" panose="020B0604020202020204" pitchFamily="34" charset="0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#REF!$A$21:$A$70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#REF!$BB$21:$BB$70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C6FA-4015-9F09-F9F032F9A3B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6FA-4015-9F09-F9F032F9A3B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6FA-4015-9F09-F9F032F9A3B4}"/>
                  </c:ext>
                </c:extLst>
              </c15:ser>
            </c15:filteredScatterSeries>
          </c:ext>
        </c:extLst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Peak Flank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3.995434508221786E-2"/>
          <c:w val="0.88386351706036748"/>
          <c:h val="0.8633630610439472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(h10)'!$AZ$11</c:f>
              <c:strCache>
                <c:ptCount val="1"/>
                <c:pt idx="0">
                  <c:v>Low Pe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(h10)'!$AY$12:$AY$16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'NEW APPROACH (h10)'!$AZ$12:$AZ$16</c:f>
              <c:numCache>
                <c:formatCode>0</c:formatCode>
                <c:ptCount val="5"/>
                <c:pt idx="0">
                  <c:v>254.04391908769645</c:v>
                </c:pt>
                <c:pt idx="1">
                  <c:v>234.78320275518485</c:v>
                </c:pt>
                <c:pt idx="2">
                  <c:v>239.65183646128202</c:v>
                </c:pt>
                <c:pt idx="3">
                  <c:v>238.41297863176607</c:v>
                </c:pt>
                <c:pt idx="4">
                  <c:v>238.72767198350761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3-40F0-9793-75868BB04339}"/>
            </c:ext>
          </c:extLst>
        </c:ser>
        <c:ser>
          <c:idx val="1"/>
          <c:order val="1"/>
          <c:tx>
            <c:strRef>
              <c:f>'NEW APPROACH (h10)'!$BA$11</c:f>
              <c:strCache>
                <c:ptCount val="1"/>
                <c:pt idx="0">
                  <c:v>High 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(h10)'!$AY$12:$AY$16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'NEW APPROACH (h10)'!$BA$12:$BA$16</c:f>
              <c:numCache>
                <c:formatCode>0</c:formatCode>
                <c:ptCount val="5"/>
                <c:pt idx="0">
                  <c:v>120.96223918545867</c:v>
                </c:pt>
                <c:pt idx="1">
                  <c:v>256.2905650987131</c:v>
                </c:pt>
                <c:pt idx="2">
                  <c:v>226.10931209388747</c:v>
                </c:pt>
                <c:pt idx="3">
                  <c:v>232.06311317413051</c:v>
                </c:pt>
                <c:pt idx="4">
                  <c:v>230.8603511128504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3-40F0-9793-75868BB04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169792"/>
        <c:axId val="374178112"/>
      </c:scatterChart>
      <c:valAx>
        <c:axId val="37416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78112"/>
        <c:crosses val="autoZero"/>
        <c:crossBetween val="midCat"/>
      </c:valAx>
      <c:valAx>
        <c:axId val="3741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16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17130251910844"/>
          <c:y val="0.116157464644047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(h10)'!$C$9</c:f>
              <c:strCache>
                <c:ptCount val="1"/>
                <c:pt idx="0">
                  <c:v>0.100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  <a:prstDash val="solid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0048289702436388"/>
                  <c:y val="6.39254462273265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APPROACH (h10)'!$A$23:$A$72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(h10)'!$BB$23:$BB$72</c:f>
              <c:numCache>
                <c:formatCode>0</c:formatCode>
                <c:ptCount val="50"/>
                <c:pt idx="0">
                  <c:v>237.89392245793516</c:v>
                </c:pt>
                <c:pt idx="1">
                  <c:v>291.59336199737334</c:v>
                </c:pt>
                <c:pt idx="2">
                  <c:v>330.22032495646897</c:v>
                </c:pt>
                <c:pt idx="3">
                  <c:v>360.14070858897833</c:v>
                </c:pt>
                <c:pt idx="4">
                  <c:v>384.74782593167453</c:v>
                </c:pt>
                <c:pt idx="5">
                  <c:v>405.74853035827346</c:v>
                </c:pt>
                <c:pt idx="6">
                  <c:v>424.11329285514176</c:v>
                </c:pt>
                <c:pt idx="7">
                  <c:v>440.45169031954015</c:v>
                </c:pt>
                <c:pt idx="8">
                  <c:v>455.17500517795497</c:v>
                </c:pt>
                <c:pt idx="9">
                  <c:v>468.57568747512477</c:v>
                </c:pt>
                <c:pt idx="10">
                  <c:v>480.87017737774187</c:v>
                </c:pt>
                <c:pt idx="11">
                  <c:v>492.22378423520809</c:v>
                </c:pt>
                <c:pt idx="12">
                  <c:v>502.76601571938011</c:v>
                </c:pt>
                <c:pt idx="13">
                  <c:v>512.60047887206929</c:v>
                </c:pt>
                <c:pt idx="14">
                  <c:v>521.81152765956108</c:v>
                </c:pt>
                <c:pt idx="15">
                  <c:v>530.46887309593069</c:v>
                </c:pt>
                <c:pt idx="16">
                  <c:v>538.63086958206702</c:v>
                </c:pt>
                <c:pt idx="17">
                  <c:v>546.34691366057052</c:v>
                </c:pt>
                <c:pt idx="18">
                  <c:v>553.65923125926849</c:v>
                </c:pt>
                <c:pt idx="19">
                  <c:v>560.60423351072654</c:v>
                </c:pt>
                <c:pt idx="20">
                  <c:v>567.21356177296741</c:v>
                </c:pt>
                <c:pt idx="21">
                  <c:v>573.51490456014858</c:v>
                </c:pt>
                <c:pt idx="22">
                  <c:v>579.53264428739385</c:v>
                </c:pt>
                <c:pt idx="23">
                  <c:v>585.28837513217945</c:v>
                </c:pt>
                <c:pt idx="24">
                  <c:v>590.80132197265311</c:v>
                </c:pt>
                <c:pt idx="25">
                  <c:v>596.08868246963016</c:v>
                </c:pt>
                <c:pt idx="26">
                  <c:v>601.16590877205795</c:v>
                </c:pt>
                <c:pt idx="27">
                  <c:v>606.04694131020869</c:v>
                </c:pt>
                <c:pt idx="28">
                  <c:v>610.74440421388738</c:v>
                </c:pt>
                <c:pt idx="29">
                  <c:v>615.26976973164642</c:v>
                </c:pt>
                <c:pt idx="30">
                  <c:v>619.63349741195861</c:v>
                </c:pt>
                <c:pt idx="31">
                  <c:v>623.84515258705073</c:v>
                </c:pt>
                <c:pt idx="32">
                  <c:v>627.91350776865568</c:v>
                </c:pt>
                <c:pt idx="33">
                  <c:v>631.84662984715101</c:v>
                </c:pt>
                <c:pt idx="34">
                  <c:v>635.65195542748768</c:v>
                </c:pt>
                <c:pt idx="35">
                  <c:v>639.33635619780625</c:v>
                </c:pt>
                <c:pt idx="36">
                  <c:v>642.90619588100685</c:v>
                </c:pt>
                <c:pt idx="37">
                  <c:v>646.3673800444617</c:v>
                </c:pt>
                <c:pt idx="38">
                  <c:v>649.72539982268393</c:v>
                </c:pt>
                <c:pt idx="39">
                  <c:v>652.98537043002671</c:v>
                </c:pt>
                <c:pt idx="40">
                  <c:v>656.15206519632113</c:v>
                </c:pt>
                <c:pt idx="41">
                  <c:v>659.22994574072322</c:v>
                </c:pt>
                <c:pt idx="42">
                  <c:v>662.22318880254647</c:v>
                </c:pt>
                <c:pt idx="43">
                  <c:v>665.13571016831293</c:v>
                </c:pt>
                <c:pt idx="44">
                  <c:v>667.97118606835693</c:v>
                </c:pt>
                <c:pt idx="45">
                  <c:v>670.73307236148264</c:v>
                </c:pt>
                <c:pt idx="46">
                  <c:v>673.4246217803493</c:v>
                </c:pt>
                <c:pt idx="47">
                  <c:v>676.04889947181402</c:v>
                </c:pt>
                <c:pt idx="48">
                  <c:v>678.60879703406658</c:v>
                </c:pt>
                <c:pt idx="49">
                  <c:v>813.43637780519521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B9-4B31-8776-07A0D0F78442}"/>
            </c:ext>
          </c:extLst>
        </c:ser>
        <c:ser>
          <c:idx val="1"/>
          <c:order val="1"/>
          <c:tx>
            <c:strRef>
              <c:f>#REF!$C$9</c:f>
              <c:strCache>
                <c:ptCount val="1"/>
                <c:pt idx="0">
                  <c:v>#REF!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0487751531058618E-3"/>
                  <c:y val="-2.7630869058034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#REF!$A$21:$A$70</c:f>
            </c:numRef>
          </c:xVal>
          <c:yVal>
            <c:numRef>
              <c:f>#REF!$BB$21:$BB$70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B9-4B31-8776-07A0D0F78442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3B9-4B31-8776-07A0D0F78442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3B9-4B31-8776-07A0D0F78442}"/>
            </c:ext>
          </c:extLst>
        </c:ser>
        <c:ser>
          <c:idx val="4"/>
          <c:order val="4"/>
          <c:tx>
            <c:v>0.05 DATA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'NEW APPROACH (h10)'!$P$5:$P$9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'NEW APPROACH (h10)'!$Q$5:$Q$9</c:f>
              <c:numCache>
                <c:formatCode>General</c:formatCode>
                <c:ptCount val="5"/>
                <c:pt idx="0">
                  <c:v>360</c:v>
                </c:pt>
                <c:pt idx="1">
                  <c:v>400</c:v>
                </c:pt>
                <c:pt idx="2">
                  <c:v>430</c:v>
                </c:pt>
                <c:pt idx="3">
                  <c:v>470</c:v>
                </c:pt>
                <c:pt idx="4">
                  <c:v>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3B9-4B31-8776-07A0D0F78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Peak Flank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5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3548797025371828"/>
          <c:y val="0.69490740740740742"/>
          <c:w val="0.36451202974628172"/>
          <c:h val="0.140736366287547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7125984251968"/>
          <c:y val="0.11615740740740743"/>
          <c:w val="0.8323079615048119"/>
          <c:h val="0.7208876494604841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'NEW APPROACH (h10)'!$H$2</c:f>
              <c:strCache>
                <c:ptCount val="1"/>
                <c:pt idx="0">
                  <c:v>Tc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9625853018372703"/>
                  <c:y val="-0.49125801983085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70C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'NEW APPROACH (h10)'!$G$6:$G$10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0.02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</c:numCache>
            </c:numRef>
          </c:xVal>
          <c:yVal>
            <c:numRef>
              <c:f>'NEW APPROACH (h10)'!$L$6:$L$10</c:f>
              <c:numCache>
                <c:formatCode>0</c:formatCode>
                <c:ptCount val="5"/>
                <c:pt idx="0">
                  <c:v>1025.2890526077817</c:v>
                </c:pt>
                <c:pt idx="1">
                  <c:v>423.79676319027556</c:v>
                </c:pt>
                <c:pt idx="2">
                  <c:v>141.11803349543737</c:v>
                </c:pt>
                <c:pt idx="3">
                  <c:v>42.438169977019697</c:v>
                </c:pt>
                <c:pt idx="4">
                  <c:v>31.522322727003868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DB-48FA-8F18-AF0B5A56F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0.1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Uncut Chip Thickness</a:t>
                </a:r>
                <a:r>
                  <a:rPr lang="en-US" baseline="0">
                    <a:solidFill>
                      <a:schemeClr val="tx1"/>
                    </a:solidFill>
                  </a:rPr>
                  <a:t>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h</a:t>
                </a:r>
                <a:r>
                  <a:rPr lang="en-US">
                    <a:solidFill>
                      <a:schemeClr val="tx1"/>
                    </a:solidFill>
                  </a:rPr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2.5000000000000005E-2"/>
      </c:valAx>
      <c:valAx>
        <c:axId val="374360736"/>
        <c:scaling>
          <c:orientation val="minMax"/>
          <c:max val="6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Limiting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m/min]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5319335083114622E-3"/>
              <c:y val="0.19510826771653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(h10)'!$BH$26:$BH$28</c:f>
              <c:numCache>
                <c:formatCode>General</c:formatCode>
                <c:ptCount val="3"/>
                <c:pt idx="0">
                  <c:v>20</c:v>
                </c:pt>
                <c:pt idx="1">
                  <c:v>50</c:v>
                </c:pt>
                <c:pt idx="2">
                  <c:v>100</c:v>
                </c:pt>
              </c:numCache>
            </c:numRef>
          </c:xVal>
          <c:yVal>
            <c:numRef>
              <c:f>'NEW APPROACH (h10)'!$BI$26:$BI$28</c:f>
              <c:numCache>
                <c:formatCode>General</c:formatCode>
                <c:ptCount val="3"/>
                <c:pt idx="0">
                  <c:v>1020</c:v>
                </c:pt>
                <c:pt idx="1">
                  <c:v>350</c:v>
                </c:pt>
                <c:pt idx="2">
                  <c:v>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FB-45A6-8EF7-25FFF241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56800"/>
        <c:axId val="713457632"/>
      </c:scatterChart>
      <c:valAx>
        <c:axId val="71345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 in Microns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7632"/>
        <c:crosses val="autoZero"/>
        <c:crossBetween val="midCat"/>
      </c:valAx>
      <c:valAx>
        <c:axId val="71345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Critical Speed in m/min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5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17130251910844"/>
          <c:y val="0.1161574646440473"/>
          <c:w val="0.8323079615048119"/>
          <c:h val="0.72088764946048411"/>
        </c:manualLayout>
      </c:layout>
      <c:scatterChart>
        <c:scatterStyle val="smoothMarker"/>
        <c:varyColors val="0"/>
        <c:ser>
          <c:idx val="1"/>
          <c:order val="0"/>
          <c:tx>
            <c:v>f = 0.250 mm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(h250)'!$A$23:$A$73</c:f>
              <c:numCache>
                <c:formatCode>General</c:formatCode>
                <c:ptCount val="51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(h250)'!$C$23:$C$73</c:f>
              <c:numCache>
                <c:formatCode>0</c:formatCode>
                <c:ptCount val="51"/>
                <c:pt idx="0" formatCode="General">
                  <c:v>180</c:v>
                </c:pt>
                <c:pt idx="1">
                  <c:v>376.88660917428263</c:v>
                </c:pt>
                <c:pt idx="2">
                  <c:v>498.12928208960005</c:v>
                </c:pt>
                <c:pt idx="3">
                  <c:v>572.55581302411076</c:v>
                </c:pt>
                <c:pt idx="4">
                  <c:v>624.71798572891282</c:v>
                </c:pt>
                <c:pt idx="5">
                  <c:v>656.45482969864668</c:v>
                </c:pt>
                <c:pt idx="6">
                  <c:v>680.728890296381</c:v>
                </c:pt>
                <c:pt idx="7">
                  <c:v>700.45521481257458</c:v>
                </c:pt>
                <c:pt idx="8">
                  <c:v>717.01528589428381</c:v>
                </c:pt>
                <c:pt idx="9">
                  <c:v>731.2815208904666</c:v>
                </c:pt>
                <c:pt idx="10">
                  <c:v>743.84642330688121</c:v>
                </c:pt>
                <c:pt idx="11">
                  <c:v>755.12522700953218</c:v>
                </c:pt>
                <c:pt idx="12">
                  <c:v>765.41520456672333</c:v>
                </c:pt>
                <c:pt idx="13">
                  <c:v>774.9328175398</c:v>
                </c:pt>
                <c:pt idx="14">
                  <c:v>783.83798359933689</c:v>
                </c:pt>
                <c:pt idx="15">
                  <c:v>792.25038486524068</c:v>
                </c:pt>
                <c:pt idx="16">
                  <c:v>800.26066235524479</c:v>
                </c:pt>
                <c:pt idx="17">
                  <c:v>807.9382307975153</c:v>
                </c:pt>
                <c:pt idx="18">
                  <c:v>815.33681196957116</c:v>
                </c:pt>
                <c:pt idx="19">
                  <c:v>822.49840158835786</c:v>
                </c:pt>
                <c:pt idx="20">
                  <c:v>829.45614531944511</c:v>
                </c:pt>
                <c:pt idx="21">
                  <c:v>836.23644563570645</c:v>
                </c:pt>
                <c:pt idx="22">
                  <c:v>842.86052030333371</c:v>
                </c:pt>
                <c:pt idx="23">
                  <c:v>849.34556588578312</c:v>
                </c:pt>
                <c:pt idx="24">
                  <c:v>855.70563402701987</c:v>
                </c:pt>
                <c:pt idx="25">
                  <c:v>861.95229699300785</c:v>
                </c:pt>
                <c:pt idx="26">
                  <c:v>868.09515726423308</c:v>
                </c:pt>
                <c:pt idx="27">
                  <c:v>874.14224078493498</c:v>
                </c:pt>
                <c:pt idx="28">
                  <c:v>880.10030273818143</c:v>
                </c:pt>
                <c:pt idx="29">
                  <c:v>885.97506705830392</c:v>
                </c:pt>
                <c:pt idx="30">
                  <c:v>891.77141538467617</c:v>
                </c:pt>
                <c:pt idx="31">
                  <c:v>897.49353716815949</c:v>
                </c:pt>
                <c:pt idx="32">
                  <c:v>903.14504972505006</c:v>
                </c:pt>
                <c:pt idx="33">
                  <c:v>908.7290948875999</c:v>
                </c:pt>
                <c:pt idx="34">
                  <c:v>914.24841731048627</c:v>
                </c:pt>
                <c:pt idx="35">
                  <c:v>919.7054283071086</c:v>
                </c:pt>
                <c:pt idx="36">
                  <c:v>925.10225819985453</c:v>
                </c:pt>
                <c:pt idx="37">
                  <c:v>930.44079949670345</c:v>
                </c:pt>
                <c:pt idx="38">
                  <c:v>935.72274269631043</c:v>
                </c:pt>
                <c:pt idx="39">
                  <c:v>940.94960613403123</c:v>
                </c:pt>
                <c:pt idx="40">
                  <c:v>946.12276098211623</c:v>
                </c:pt>
                <c:pt idx="41">
                  <c:v>951.24345228631114</c:v>
                </c:pt>
                <c:pt idx="42">
                  <c:v>956.31281674188097</c:v>
                </c:pt>
                <c:pt idx="43">
                  <c:v>961.33189777234645</c:v>
                </c:pt>
                <c:pt idx="44">
                  <c:v>966.30165836473543</c:v>
                </c:pt>
                <c:pt idx="45">
                  <c:v>971.22299202897045</c:v>
                </c:pt>
                <c:pt idx="46">
                  <c:v>976.09673218084242</c:v>
                </c:pt>
                <c:pt idx="47">
                  <c:v>980.92366019384463</c:v>
                </c:pt>
                <c:pt idx="48">
                  <c:v>985.7045123218893</c:v>
                </c:pt>
                <c:pt idx="49">
                  <c:v>990.43998566021514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3D1-4D63-9F66-01161068E405}"/>
            </c:ext>
          </c:extLst>
        </c:ser>
        <c:ser>
          <c:idx val="4"/>
          <c:order val="1"/>
          <c:tx>
            <c:v>f = 0.050 mm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(h50)'!$A$23:$A$72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(h50)'!$C$23:$C$72</c:f>
              <c:numCache>
                <c:formatCode>0</c:formatCode>
                <c:ptCount val="50"/>
                <c:pt idx="0" formatCode="General">
                  <c:v>180</c:v>
                </c:pt>
                <c:pt idx="1">
                  <c:v>269.74786734306412</c:v>
                </c:pt>
                <c:pt idx="2">
                  <c:v>359.33731563802644</c:v>
                </c:pt>
                <c:pt idx="3">
                  <c:v>425.52265031710152</c:v>
                </c:pt>
                <c:pt idx="4">
                  <c:v>476.01149189399308</c:v>
                </c:pt>
                <c:pt idx="5">
                  <c:v>516.04452483193211</c:v>
                </c:pt>
                <c:pt idx="6">
                  <c:v>548.75522072037256</c:v>
                </c:pt>
                <c:pt idx="7">
                  <c:v>576.09887829625336</c:v>
                </c:pt>
                <c:pt idx="8">
                  <c:v>599.36332292873658</c:v>
                </c:pt>
                <c:pt idx="9">
                  <c:v>619.436729060571</c:v>
                </c:pt>
                <c:pt idx="10">
                  <c:v>636.95482724370004</c:v>
                </c:pt>
                <c:pt idx="11">
                  <c:v>652.38664196406467</c:v>
                </c:pt>
                <c:pt idx="12">
                  <c:v>666.08705272090378</c:v>
                </c:pt>
                <c:pt idx="13">
                  <c:v>678.33040171426273</c:v>
                </c:pt>
                <c:pt idx="14">
                  <c:v>692.19126793437158</c:v>
                </c:pt>
                <c:pt idx="15">
                  <c:v>700.53698854877769</c:v>
                </c:pt>
                <c:pt idx="16">
                  <c:v>707.98203291285574</c:v>
                </c:pt>
                <c:pt idx="17">
                  <c:v>714.8696415442771</c:v>
                </c:pt>
                <c:pt idx="18">
                  <c:v>721.28593099794966</c:v>
                </c:pt>
                <c:pt idx="19">
                  <c:v>727.29217800753372</c:v>
                </c:pt>
                <c:pt idx="20">
                  <c:v>732.93938668438523</c:v>
                </c:pt>
                <c:pt idx="21">
                  <c:v>738.27070205436019</c:v>
                </c:pt>
                <c:pt idx="22">
                  <c:v>743.32284228238802</c:v>
                </c:pt>
                <c:pt idx="23">
                  <c:v>748.12721184318661</c:v>
                </c:pt>
                <c:pt idx="24">
                  <c:v>752.71079243973236</c:v>
                </c:pt>
                <c:pt idx="25">
                  <c:v>757.09686322415632</c:v>
                </c:pt>
                <c:pt idx="26">
                  <c:v>761.30558760355916</c:v>
                </c:pt>
                <c:pt idx="27">
                  <c:v>765.35449463712689</c:v>
                </c:pt>
                <c:pt idx="28">
                  <c:v>769.25887638033601</c:v>
                </c:pt>
                <c:pt idx="29">
                  <c:v>773.03211765888796</c:v>
                </c:pt>
                <c:pt idx="30">
                  <c:v>776.68597113003057</c:v>
                </c:pt>
                <c:pt idx="31">
                  <c:v>780.23078775627164</c:v>
                </c:pt>
                <c:pt idx="32">
                  <c:v>783.67571073183717</c:v>
                </c:pt>
                <c:pt idx="33">
                  <c:v>787.02883929475206</c:v>
                </c:pt>
                <c:pt idx="34">
                  <c:v>790.29736760602577</c:v>
                </c:pt>
                <c:pt idx="35">
                  <c:v>793.48770289480206</c:v>
                </c:pt>
                <c:pt idx="36">
                  <c:v>796.60556629079178</c:v>
                </c:pt>
                <c:pt idx="37">
                  <c:v>799.65607914577026</c:v>
                </c:pt>
                <c:pt idx="38">
                  <c:v>802.64383714915209</c:v>
                </c:pt>
                <c:pt idx="39">
                  <c:v>805.57297414205425</c:v>
                </c:pt>
                <c:pt idx="40">
                  <c:v>808.44721720951918</c:v>
                </c:pt>
                <c:pt idx="41">
                  <c:v>811.26993436605562</c:v>
                </c:pt>
                <c:pt idx="42">
                  <c:v>814.04417593324365</c:v>
                </c:pt>
                <c:pt idx="43">
                  <c:v>816.77271053036873</c:v>
                </c:pt>
                <c:pt idx="44">
                  <c:v>819.45805645243433</c:v>
                </c:pt>
                <c:pt idx="45">
                  <c:v>822.10250908855437</c:v>
                </c:pt>
                <c:pt idx="46">
                  <c:v>824.70816493296218</c:v>
                </c:pt>
                <c:pt idx="47">
                  <c:v>827.27694265690639</c:v>
                </c:pt>
                <c:pt idx="48">
                  <c:v>829.81060163955431</c:v>
                </c:pt>
                <c:pt idx="49">
                  <c:v>832.3107582972184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3D1-4D63-9F66-01161068E405}"/>
            </c:ext>
          </c:extLst>
        </c:ser>
        <c:ser>
          <c:idx val="0"/>
          <c:order val="2"/>
          <c:tx>
            <c:v>f = 0.010 mm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'NEW APPROACH (h10)'!$A$23:$A$72</c:f>
              <c:numCache>
                <c:formatCode>General</c:formatCode>
                <c:ptCount val="50"/>
                <c:pt idx="0">
                  <c:v>6</c:v>
                </c:pt>
                <c:pt idx="1">
                  <c:v>12</c:v>
                </c:pt>
                <c:pt idx="2">
                  <c:v>18</c:v>
                </c:pt>
                <c:pt idx="3">
                  <c:v>24</c:v>
                </c:pt>
                <c:pt idx="4">
                  <c:v>30</c:v>
                </c:pt>
                <c:pt idx="5">
                  <c:v>36</c:v>
                </c:pt>
                <c:pt idx="6">
                  <c:v>42</c:v>
                </c:pt>
                <c:pt idx="7">
                  <c:v>48</c:v>
                </c:pt>
                <c:pt idx="8">
                  <c:v>54</c:v>
                </c:pt>
                <c:pt idx="9">
                  <c:v>60</c:v>
                </c:pt>
                <c:pt idx="10">
                  <c:v>66</c:v>
                </c:pt>
                <c:pt idx="11">
                  <c:v>72</c:v>
                </c:pt>
                <c:pt idx="12">
                  <c:v>78</c:v>
                </c:pt>
                <c:pt idx="13">
                  <c:v>84</c:v>
                </c:pt>
                <c:pt idx="14">
                  <c:v>90</c:v>
                </c:pt>
                <c:pt idx="15">
                  <c:v>96</c:v>
                </c:pt>
                <c:pt idx="16">
                  <c:v>102</c:v>
                </c:pt>
                <c:pt idx="17">
                  <c:v>108</c:v>
                </c:pt>
                <c:pt idx="18">
                  <c:v>114</c:v>
                </c:pt>
                <c:pt idx="19">
                  <c:v>120</c:v>
                </c:pt>
                <c:pt idx="20">
                  <c:v>126</c:v>
                </c:pt>
                <c:pt idx="21">
                  <c:v>132</c:v>
                </c:pt>
                <c:pt idx="22">
                  <c:v>138</c:v>
                </c:pt>
                <c:pt idx="23">
                  <c:v>144</c:v>
                </c:pt>
                <c:pt idx="24">
                  <c:v>150</c:v>
                </c:pt>
                <c:pt idx="25">
                  <c:v>156</c:v>
                </c:pt>
                <c:pt idx="26">
                  <c:v>162</c:v>
                </c:pt>
                <c:pt idx="27">
                  <c:v>168</c:v>
                </c:pt>
                <c:pt idx="28">
                  <c:v>174</c:v>
                </c:pt>
                <c:pt idx="29">
                  <c:v>180</c:v>
                </c:pt>
                <c:pt idx="30">
                  <c:v>186</c:v>
                </c:pt>
                <c:pt idx="31">
                  <c:v>192</c:v>
                </c:pt>
                <c:pt idx="32">
                  <c:v>198</c:v>
                </c:pt>
                <c:pt idx="33">
                  <c:v>204</c:v>
                </c:pt>
                <c:pt idx="34">
                  <c:v>210</c:v>
                </c:pt>
                <c:pt idx="35">
                  <c:v>216</c:v>
                </c:pt>
                <c:pt idx="36">
                  <c:v>222</c:v>
                </c:pt>
                <c:pt idx="37">
                  <c:v>228</c:v>
                </c:pt>
                <c:pt idx="38">
                  <c:v>234</c:v>
                </c:pt>
                <c:pt idx="39">
                  <c:v>240</c:v>
                </c:pt>
                <c:pt idx="40">
                  <c:v>245.99999999999997</c:v>
                </c:pt>
                <c:pt idx="41">
                  <c:v>252</c:v>
                </c:pt>
                <c:pt idx="42">
                  <c:v>258</c:v>
                </c:pt>
                <c:pt idx="43">
                  <c:v>264</c:v>
                </c:pt>
                <c:pt idx="44">
                  <c:v>270</c:v>
                </c:pt>
                <c:pt idx="45">
                  <c:v>276</c:v>
                </c:pt>
                <c:pt idx="46">
                  <c:v>282</c:v>
                </c:pt>
                <c:pt idx="47">
                  <c:v>288</c:v>
                </c:pt>
                <c:pt idx="48">
                  <c:v>294</c:v>
                </c:pt>
                <c:pt idx="49">
                  <c:v>1020</c:v>
                </c:pt>
              </c:numCache>
            </c:numRef>
          </c:xVal>
          <c:yVal>
            <c:numRef>
              <c:f>'NEW APPROACH (h10)'!$BB$23:$BB$72</c:f>
              <c:numCache>
                <c:formatCode>0</c:formatCode>
                <c:ptCount val="50"/>
                <c:pt idx="0">
                  <c:v>237.89392245793516</c:v>
                </c:pt>
                <c:pt idx="1">
                  <c:v>291.59336199737334</c:v>
                </c:pt>
                <c:pt idx="2">
                  <c:v>330.22032495646897</c:v>
                </c:pt>
                <c:pt idx="3">
                  <c:v>360.14070858897833</c:v>
                </c:pt>
                <c:pt idx="4">
                  <c:v>384.74782593167453</c:v>
                </c:pt>
                <c:pt idx="5">
                  <c:v>405.74853035827346</c:v>
                </c:pt>
                <c:pt idx="6">
                  <c:v>424.11329285514176</c:v>
                </c:pt>
                <c:pt idx="7">
                  <c:v>440.45169031954015</c:v>
                </c:pt>
                <c:pt idx="8">
                  <c:v>455.17500517795497</c:v>
                </c:pt>
                <c:pt idx="9">
                  <c:v>468.57568747512477</c:v>
                </c:pt>
                <c:pt idx="10">
                  <c:v>480.87017737774187</c:v>
                </c:pt>
                <c:pt idx="11">
                  <c:v>492.22378423520809</c:v>
                </c:pt>
                <c:pt idx="12">
                  <c:v>502.76601571938011</c:v>
                </c:pt>
                <c:pt idx="13">
                  <c:v>512.60047887206929</c:v>
                </c:pt>
                <c:pt idx="14">
                  <c:v>521.81152765956108</c:v>
                </c:pt>
                <c:pt idx="15">
                  <c:v>530.46887309593069</c:v>
                </c:pt>
                <c:pt idx="16">
                  <c:v>538.63086958206702</c:v>
                </c:pt>
                <c:pt idx="17">
                  <c:v>546.34691366057052</c:v>
                </c:pt>
                <c:pt idx="18">
                  <c:v>553.65923125926849</c:v>
                </c:pt>
                <c:pt idx="19">
                  <c:v>560.60423351072654</c:v>
                </c:pt>
                <c:pt idx="20">
                  <c:v>567.21356177296741</c:v>
                </c:pt>
                <c:pt idx="21">
                  <c:v>573.51490456014858</c:v>
                </c:pt>
                <c:pt idx="22">
                  <c:v>579.53264428739385</c:v>
                </c:pt>
                <c:pt idx="23">
                  <c:v>585.28837513217945</c:v>
                </c:pt>
                <c:pt idx="24">
                  <c:v>590.80132197265311</c:v>
                </c:pt>
                <c:pt idx="25">
                  <c:v>596.08868246963016</c:v>
                </c:pt>
                <c:pt idx="26">
                  <c:v>601.16590877205795</c:v>
                </c:pt>
                <c:pt idx="27">
                  <c:v>606.04694131020869</c:v>
                </c:pt>
                <c:pt idx="28">
                  <c:v>610.74440421388738</c:v>
                </c:pt>
                <c:pt idx="29">
                  <c:v>615.26976973164642</c:v>
                </c:pt>
                <c:pt idx="30">
                  <c:v>619.63349741195861</c:v>
                </c:pt>
                <c:pt idx="31">
                  <c:v>623.84515258705073</c:v>
                </c:pt>
                <c:pt idx="32">
                  <c:v>627.91350776865568</c:v>
                </c:pt>
                <c:pt idx="33">
                  <c:v>631.84662984715101</c:v>
                </c:pt>
                <c:pt idx="34">
                  <c:v>635.65195542748768</c:v>
                </c:pt>
                <c:pt idx="35">
                  <c:v>639.33635619780625</c:v>
                </c:pt>
                <c:pt idx="36">
                  <c:v>642.90619588100685</c:v>
                </c:pt>
                <c:pt idx="37">
                  <c:v>646.3673800444617</c:v>
                </c:pt>
                <c:pt idx="38">
                  <c:v>649.72539982268393</c:v>
                </c:pt>
                <c:pt idx="39">
                  <c:v>652.98537043002671</c:v>
                </c:pt>
                <c:pt idx="40">
                  <c:v>656.15206519632113</c:v>
                </c:pt>
                <c:pt idx="41">
                  <c:v>659.22994574072322</c:v>
                </c:pt>
                <c:pt idx="42">
                  <c:v>662.22318880254647</c:v>
                </c:pt>
                <c:pt idx="43">
                  <c:v>665.13571016831293</c:v>
                </c:pt>
                <c:pt idx="44">
                  <c:v>667.97118606835693</c:v>
                </c:pt>
                <c:pt idx="45">
                  <c:v>670.73307236148264</c:v>
                </c:pt>
                <c:pt idx="46">
                  <c:v>673.4246217803493</c:v>
                </c:pt>
                <c:pt idx="47">
                  <c:v>676.04889947181402</c:v>
                </c:pt>
                <c:pt idx="48">
                  <c:v>678.60879703406658</c:v>
                </c:pt>
                <c:pt idx="49">
                  <c:v>813.43637780519521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D1-4D63-9F66-01161068E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54496"/>
        <c:axId val="374360736"/>
      </c:scatterChart>
      <c:valAx>
        <c:axId val="374354496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Cutting Speed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v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c</a:t>
                </a:r>
                <a:r>
                  <a:rPr lang="en-US">
                    <a:solidFill>
                      <a:schemeClr val="tx1"/>
                    </a:solidFill>
                  </a:rPr>
                  <a:t> [m/min]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60736"/>
        <c:crosses val="autoZero"/>
        <c:crossBetween val="midCat"/>
        <c:majorUnit val="50"/>
      </c:valAx>
      <c:valAx>
        <c:axId val="374360736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Peak Flank Temperature </a:t>
                </a:r>
                <a:r>
                  <a:rPr lang="en-US" sz="1200" b="1" i="1">
                    <a:solidFill>
                      <a:schemeClr val="tx1"/>
                    </a:solidFill>
                  </a:rPr>
                  <a:t>T</a:t>
                </a:r>
                <a:r>
                  <a:rPr lang="en-US" sz="1200" b="1" i="1" baseline="-25000">
                    <a:solidFill>
                      <a:schemeClr val="tx1"/>
                    </a:solidFill>
                  </a:rPr>
                  <a:t>f</a:t>
                </a:r>
                <a:r>
                  <a:rPr lang="en-US" baseline="0">
                    <a:solidFill>
                      <a:schemeClr val="tx1"/>
                    </a:solidFill>
                  </a:rPr>
                  <a:t> [</a:t>
                </a:r>
                <a:r>
                  <a:rPr lang="en-US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°C]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4354496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51988977217615"/>
          <c:y val="0.53037016743615162"/>
          <c:w val="0.24998268393036197"/>
          <c:h val="0.25496283118981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193221</xdr:colOff>
      <xdr:row>6</xdr:row>
      <xdr:rowOff>8162</xdr:rowOff>
    </xdr:from>
    <xdr:to>
      <xdr:col>63</xdr:col>
      <xdr:colOff>193221</xdr:colOff>
      <xdr:row>17</xdr:row>
      <xdr:rowOff>547005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355600</xdr:colOff>
      <xdr:row>0</xdr:row>
      <xdr:rowOff>2</xdr:rowOff>
    </xdr:from>
    <xdr:to>
      <xdr:col>24</xdr:col>
      <xdr:colOff>336550</xdr:colOff>
      <xdr:row>13</xdr:row>
      <xdr:rowOff>165101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626381</xdr:colOff>
      <xdr:row>8</xdr:row>
      <xdr:rowOff>58509</xdr:rowOff>
    </xdr:from>
    <xdr:to>
      <xdr:col>60</xdr:col>
      <xdr:colOff>351214</xdr:colOff>
      <xdr:row>18</xdr:row>
      <xdr:rowOff>164949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BAE55-B702-4972-A16E-954D0C107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168277</xdr:colOff>
      <xdr:row>3</xdr:row>
      <xdr:rowOff>50953</xdr:rowOff>
    </xdr:from>
    <xdr:to>
      <xdr:col>19</xdr:col>
      <xdr:colOff>406704</xdr:colOff>
      <xdr:row>19</xdr:row>
      <xdr:rowOff>50044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9E6D1E-81E7-4649-8E22-C33574B9B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273654</xdr:colOff>
      <xdr:row>2</xdr:row>
      <xdr:rowOff>83459</xdr:rowOff>
    </xdr:from>
    <xdr:to>
      <xdr:col>26</xdr:col>
      <xdr:colOff>446768</xdr:colOff>
      <xdr:row>18</xdr:row>
      <xdr:rowOff>81191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11748-DCDB-44B5-B7AC-49FBECABD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370046</xdr:colOff>
      <xdr:row>20</xdr:row>
      <xdr:rowOff>81881</xdr:rowOff>
    </xdr:from>
    <xdr:to>
      <xdr:col>68</xdr:col>
      <xdr:colOff>380862</xdr:colOff>
      <xdr:row>35</xdr:row>
      <xdr:rowOff>22368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A59A23-3367-406E-8A3B-F28472015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247838</xdr:colOff>
      <xdr:row>20</xdr:row>
      <xdr:rowOff>179198</xdr:rowOff>
    </xdr:from>
    <xdr:to>
      <xdr:col>68</xdr:col>
      <xdr:colOff>169910</xdr:colOff>
      <xdr:row>30</xdr:row>
      <xdr:rowOff>47624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A4A999B7-1C4A-4856-896D-BE75739C1547}"/>
            </a:ext>
          </a:extLst>
        </xdr:cNvPr>
        <xdr:cNvSpPr/>
      </xdr:nvSpPr>
      <xdr:spPr>
        <a:xfrm>
          <a:off x="46120238" y="4674998"/>
          <a:ext cx="3187786" cy="1751655"/>
        </a:xfrm>
        <a:custGeom>
          <a:avLst/>
          <a:gdLst>
            <a:gd name="connsiteX0" fmla="*/ 0 w 3183558"/>
            <a:gd name="connsiteY0" fmla="*/ 77022 h 1858787"/>
            <a:gd name="connsiteX1" fmla="*/ 0 w 3183558"/>
            <a:gd name="connsiteY1" fmla="*/ 77022 h 1858787"/>
            <a:gd name="connsiteX2" fmla="*/ 682924 w 3183558"/>
            <a:gd name="connsiteY2" fmla="*/ 1299097 h 1858787"/>
            <a:gd name="connsiteX3" fmla="*/ 1098841 w 3183558"/>
            <a:gd name="connsiteY3" fmla="*/ 1689340 h 1858787"/>
            <a:gd name="connsiteX4" fmla="*/ 1519892 w 3183558"/>
            <a:gd name="connsiteY4" fmla="*/ 1766361 h 1858787"/>
            <a:gd name="connsiteX5" fmla="*/ 2598194 w 3183558"/>
            <a:gd name="connsiteY5" fmla="*/ 1843383 h 1858787"/>
            <a:gd name="connsiteX6" fmla="*/ 3183558 w 3183558"/>
            <a:gd name="connsiteY6" fmla="*/ 1858787 h 1858787"/>
            <a:gd name="connsiteX7" fmla="*/ 3168153 w 3183558"/>
            <a:gd name="connsiteY7" fmla="*/ 0 h 1858787"/>
            <a:gd name="connsiteX8" fmla="*/ 0 w 3183558"/>
            <a:gd name="connsiteY8" fmla="*/ 77022 h 18587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3183558" h="1858787">
              <a:moveTo>
                <a:pt x="0" y="77022"/>
              </a:moveTo>
              <a:lnTo>
                <a:pt x="0" y="77022"/>
              </a:lnTo>
              <a:lnTo>
                <a:pt x="682924" y="1299097"/>
              </a:lnTo>
              <a:lnTo>
                <a:pt x="1098841" y="1689340"/>
              </a:lnTo>
              <a:lnTo>
                <a:pt x="1519892" y="1766361"/>
              </a:lnTo>
              <a:lnTo>
                <a:pt x="2598194" y="1843383"/>
              </a:lnTo>
              <a:lnTo>
                <a:pt x="3183558" y="1858787"/>
              </a:lnTo>
              <a:lnTo>
                <a:pt x="3168153" y="0"/>
              </a:lnTo>
              <a:lnTo>
                <a:pt x="0" y="77022"/>
              </a:lnTo>
              <a:close/>
            </a:path>
          </a:pathLst>
        </a:custGeom>
        <a:solidFill>
          <a:srgbClr val="FF0000">
            <a:alpha val="61961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Thermal Damage Regime</a:t>
          </a:r>
        </a:p>
      </xdr:txBody>
    </xdr:sp>
    <xdr:clientData/>
  </xdr:twoCellAnchor>
  <xdr:twoCellAnchor>
    <xdr:from>
      <xdr:col>62</xdr:col>
      <xdr:colOff>419405</xdr:colOff>
      <xdr:row>30</xdr:row>
      <xdr:rowOff>33989</xdr:rowOff>
    </xdr:from>
    <xdr:to>
      <xdr:col>68</xdr:col>
      <xdr:colOff>176857</xdr:colOff>
      <xdr:row>32</xdr:row>
      <xdr:rowOff>8811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AFDA97B-469C-4892-A03B-D8A44641DDA6}"/>
            </a:ext>
          </a:extLst>
        </xdr:cNvPr>
        <xdr:cNvSpPr/>
      </xdr:nvSpPr>
      <xdr:spPr>
        <a:xfrm>
          <a:off x="45638662" y="6413018"/>
          <a:ext cx="3676309" cy="344936"/>
        </a:xfrm>
        <a:prstGeom prst="rect">
          <a:avLst/>
        </a:prstGeom>
        <a:solidFill>
          <a:srgbClr val="00B050">
            <a:alpha val="43922"/>
          </a:srgb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In-situ Tested regime</a:t>
          </a:r>
        </a:p>
      </xdr:txBody>
    </xdr:sp>
    <xdr:clientData/>
  </xdr:twoCellAnchor>
  <xdr:twoCellAnchor>
    <xdr:from>
      <xdr:col>8</xdr:col>
      <xdr:colOff>412750</xdr:colOff>
      <xdr:row>10</xdr:row>
      <xdr:rowOff>113395</xdr:rowOff>
    </xdr:from>
    <xdr:to>
      <xdr:col>14</xdr:col>
      <xdr:colOff>16176</xdr:colOff>
      <xdr:row>23</xdr:row>
      <xdr:rowOff>180521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1AC3FD-290A-4C00-B65C-0BDB010AA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626381</xdr:colOff>
      <xdr:row>8</xdr:row>
      <xdr:rowOff>58509</xdr:rowOff>
    </xdr:from>
    <xdr:to>
      <xdr:col>60</xdr:col>
      <xdr:colOff>351214</xdr:colOff>
      <xdr:row>18</xdr:row>
      <xdr:rowOff>164949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D4590-65E8-485A-AFD9-A9F87C18B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168277</xdr:colOff>
      <xdr:row>3</xdr:row>
      <xdr:rowOff>50953</xdr:rowOff>
    </xdr:from>
    <xdr:to>
      <xdr:col>19</xdr:col>
      <xdr:colOff>406704</xdr:colOff>
      <xdr:row>19</xdr:row>
      <xdr:rowOff>50044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2CAF3-E969-442B-8950-DD1F906C7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273654</xdr:colOff>
      <xdr:row>2</xdr:row>
      <xdr:rowOff>83459</xdr:rowOff>
    </xdr:from>
    <xdr:to>
      <xdr:col>26</xdr:col>
      <xdr:colOff>446768</xdr:colOff>
      <xdr:row>18</xdr:row>
      <xdr:rowOff>81191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C80637-68D8-4FF6-B299-5F792AF78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370046</xdr:colOff>
      <xdr:row>20</xdr:row>
      <xdr:rowOff>81881</xdr:rowOff>
    </xdr:from>
    <xdr:to>
      <xdr:col>68</xdr:col>
      <xdr:colOff>380862</xdr:colOff>
      <xdr:row>35</xdr:row>
      <xdr:rowOff>22368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D2FFE5-3A26-4B6E-8050-7CD0D8120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247838</xdr:colOff>
      <xdr:row>20</xdr:row>
      <xdr:rowOff>179198</xdr:rowOff>
    </xdr:from>
    <xdr:to>
      <xdr:col>68</xdr:col>
      <xdr:colOff>169910</xdr:colOff>
      <xdr:row>30</xdr:row>
      <xdr:rowOff>47624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BC6AB62F-90B9-4895-8E27-D8E81CBCD7FA}"/>
            </a:ext>
          </a:extLst>
        </xdr:cNvPr>
        <xdr:cNvSpPr/>
      </xdr:nvSpPr>
      <xdr:spPr>
        <a:xfrm>
          <a:off x="46120238" y="4674998"/>
          <a:ext cx="3187786" cy="1751655"/>
        </a:xfrm>
        <a:custGeom>
          <a:avLst/>
          <a:gdLst>
            <a:gd name="connsiteX0" fmla="*/ 0 w 3183558"/>
            <a:gd name="connsiteY0" fmla="*/ 77022 h 1858787"/>
            <a:gd name="connsiteX1" fmla="*/ 0 w 3183558"/>
            <a:gd name="connsiteY1" fmla="*/ 77022 h 1858787"/>
            <a:gd name="connsiteX2" fmla="*/ 682924 w 3183558"/>
            <a:gd name="connsiteY2" fmla="*/ 1299097 h 1858787"/>
            <a:gd name="connsiteX3" fmla="*/ 1098841 w 3183558"/>
            <a:gd name="connsiteY3" fmla="*/ 1689340 h 1858787"/>
            <a:gd name="connsiteX4" fmla="*/ 1519892 w 3183558"/>
            <a:gd name="connsiteY4" fmla="*/ 1766361 h 1858787"/>
            <a:gd name="connsiteX5" fmla="*/ 2598194 w 3183558"/>
            <a:gd name="connsiteY5" fmla="*/ 1843383 h 1858787"/>
            <a:gd name="connsiteX6" fmla="*/ 3183558 w 3183558"/>
            <a:gd name="connsiteY6" fmla="*/ 1858787 h 1858787"/>
            <a:gd name="connsiteX7" fmla="*/ 3168153 w 3183558"/>
            <a:gd name="connsiteY7" fmla="*/ 0 h 1858787"/>
            <a:gd name="connsiteX8" fmla="*/ 0 w 3183558"/>
            <a:gd name="connsiteY8" fmla="*/ 77022 h 18587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3183558" h="1858787">
              <a:moveTo>
                <a:pt x="0" y="77022"/>
              </a:moveTo>
              <a:lnTo>
                <a:pt x="0" y="77022"/>
              </a:lnTo>
              <a:lnTo>
                <a:pt x="682924" y="1299097"/>
              </a:lnTo>
              <a:lnTo>
                <a:pt x="1098841" y="1689340"/>
              </a:lnTo>
              <a:lnTo>
                <a:pt x="1519892" y="1766361"/>
              </a:lnTo>
              <a:lnTo>
                <a:pt x="2598194" y="1843383"/>
              </a:lnTo>
              <a:lnTo>
                <a:pt x="3183558" y="1858787"/>
              </a:lnTo>
              <a:lnTo>
                <a:pt x="3168153" y="0"/>
              </a:lnTo>
              <a:lnTo>
                <a:pt x="0" y="77022"/>
              </a:lnTo>
              <a:close/>
            </a:path>
          </a:pathLst>
        </a:custGeom>
        <a:solidFill>
          <a:srgbClr val="FF0000">
            <a:alpha val="61961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Thermal Damage Regime</a:t>
          </a:r>
        </a:p>
      </xdr:txBody>
    </xdr:sp>
    <xdr:clientData/>
  </xdr:twoCellAnchor>
  <xdr:twoCellAnchor>
    <xdr:from>
      <xdr:col>62</xdr:col>
      <xdr:colOff>419405</xdr:colOff>
      <xdr:row>30</xdr:row>
      <xdr:rowOff>33989</xdr:rowOff>
    </xdr:from>
    <xdr:to>
      <xdr:col>68</xdr:col>
      <xdr:colOff>176857</xdr:colOff>
      <xdr:row>32</xdr:row>
      <xdr:rowOff>8811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9F2125F-81DD-434A-94B1-46BD6008CA27}"/>
            </a:ext>
          </a:extLst>
        </xdr:cNvPr>
        <xdr:cNvSpPr/>
      </xdr:nvSpPr>
      <xdr:spPr>
        <a:xfrm>
          <a:off x="45638662" y="6413018"/>
          <a:ext cx="3676309" cy="344936"/>
        </a:xfrm>
        <a:prstGeom prst="rect">
          <a:avLst/>
        </a:prstGeom>
        <a:solidFill>
          <a:srgbClr val="00B050">
            <a:alpha val="43922"/>
          </a:srgb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In-situ Tested regime</a:t>
          </a:r>
        </a:p>
      </xdr:txBody>
    </xdr:sp>
    <xdr:clientData/>
  </xdr:twoCellAnchor>
  <xdr:twoCellAnchor>
    <xdr:from>
      <xdr:col>8</xdr:col>
      <xdr:colOff>412750</xdr:colOff>
      <xdr:row>10</xdr:row>
      <xdr:rowOff>113395</xdr:rowOff>
    </xdr:from>
    <xdr:to>
      <xdr:col>14</xdr:col>
      <xdr:colOff>16176</xdr:colOff>
      <xdr:row>23</xdr:row>
      <xdr:rowOff>180521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127AE8-EA15-41F0-8FE6-095A9ABB7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626381</xdr:colOff>
      <xdr:row>8</xdr:row>
      <xdr:rowOff>58509</xdr:rowOff>
    </xdr:from>
    <xdr:to>
      <xdr:col>60</xdr:col>
      <xdr:colOff>351214</xdr:colOff>
      <xdr:row>18</xdr:row>
      <xdr:rowOff>164949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387534</xdr:colOff>
      <xdr:row>0</xdr:row>
      <xdr:rowOff>0</xdr:rowOff>
    </xdr:from>
    <xdr:to>
      <xdr:col>20</xdr:col>
      <xdr:colOff>6020</xdr:colOff>
      <xdr:row>16</xdr:row>
      <xdr:rowOff>10430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273654</xdr:colOff>
      <xdr:row>2</xdr:row>
      <xdr:rowOff>83459</xdr:rowOff>
    </xdr:from>
    <xdr:to>
      <xdr:col>26</xdr:col>
      <xdr:colOff>446768</xdr:colOff>
      <xdr:row>18</xdr:row>
      <xdr:rowOff>81191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61</xdr:col>
      <xdr:colOff>370046</xdr:colOff>
      <xdr:row>20</xdr:row>
      <xdr:rowOff>81881</xdr:rowOff>
    </xdr:from>
    <xdr:to>
      <xdr:col>68</xdr:col>
      <xdr:colOff>380862</xdr:colOff>
      <xdr:row>35</xdr:row>
      <xdr:rowOff>22368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AD01F1-1214-D25B-36A5-1E18342DA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63</xdr:col>
      <xdr:colOff>247838</xdr:colOff>
      <xdr:row>20</xdr:row>
      <xdr:rowOff>179198</xdr:rowOff>
    </xdr:from>
    <xdr:to>
      <xdr:col>68</xdr:col>
      <xdr:colOff>169910</xdr:colOff>
      <xdr:row>30</xdr:row>
      <xdr:rowOff>47624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423D8B5C-40E7-371F-B1CC-78D2E42E6196}"/>
            </a:ext>
          </a:extLst>
        </xdr:cNvPr>
        <xdr:cNvSpPr/>
      </xdr:nvSpPr>
      <xdr:spPr>
        <a:xfrm>
          <a:off x="45830255" y="4671823"/>
          <a:ext cx="3202905" cy="1752259"/>
        </a:xfrm>
        <a:custGeom>
          <a:avLst/>
          <a:gdLst>
            <a:gd name="connsiteX0" fmla="*/ 0 w 3183558"/>
            <a:gd name="connsiteY0" fmla="*/ 77022 h 1858787"/>
            <a:gd name="connsiteX1" fmla="*/ 0 w 3183558"/>
            <a:gd name="connsiteY1" fmla="*/ 77022 h 1858787"/>
            <a:gd name="connsiteX2" fmla="*/ 682924 w 3183558"/>
            <a:gd name="connsiteY2" fmla="*/ 1299097 h 1858787"/>
            <a:gd name="connsiteX3" fmla="*/ 1098841 w 3183558"/>
            <a:gd name="connsiteY3" fmla="*/ 1689340 h 1858787"/>
            <a:gd name="connsiteX4" fmla="*/ 1519892 w 3183558"/>
            <a:gd name="connsiteY4" fmla="*/ 1766361 h 1858787"/>
            <a:gd name="connsiteX5" fmla="*/ 2598194 w 3183558"/>
            <a:gd name="connsiteY5" fmla="*/ 1843383 h 1858787"/>
            <a:gd name="connsiteX6" fmla="*/ 3183558 w 3183558"/>
            <a:gd name="connsiteY6" fmla="*/ 1858787 h 1858787"/>
            <a:gd name="connsiteX7" fmla="*/ 3168153 w 3183558"/>
            <a:gd name="connsiteY7" fmla="*/ 0 h 1858787"/>
            <a:gd name="connsiteX8" fmla="*/ 0 w 3183558"/>
            <a:gd name="connsiteY8" fmla="*/ 77022 h 185878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3183558" h="1858787">
              <a:moveTo>
                <a:pt x="0" y="77022"/>
              </a:moveTo>
              <a:lnTo>
                <a:pt x="0" y="77022"/>
              </a:lnTo>
              <a:lnTo>
                <a:pt x="682924" y="1299097"/>
              </a:lnTo>
              <a:lnTo>
                <a:pt x="1098841" y="1689340"/>
              </a:lnTo>
              <a:lnTo>
                <a:pt x="1519892" y="1766361"/>
              </a:lnTo>
              <a:lnTo>
                <a:pt x="2598194" y="1843383"/>
              </a:lnTo>
              <a:lnTo>
                <a:pt x="3183558" y="1858787"/>
              </a:lnTo>
              <a:lnTo>
                <a:pt x="3168153" y="0"/>
              </a:lnTo>
              <a:lnTo>
                <a:pt x="0" y="77022"/>
              </a:lnTo>
              <a:close/>
            </a:path>
          </a:pathLst>
        </a:custGeom>
        <a:solidFill>
          <a:srgbClr val="FF0000">
            <a:alpha val="61961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Thermal Damage Regime</a:t>
          </a:r>
        </a:p>
      </xdr:txBody>
    </xdr:sp>
    <xdr:clientData/>
  </xdr:twoCellAnchor>
  <xdr:twoCellAnchor>
    <xdr:from>
      <xdr:col>62</xdr:col>
      <xdr:colOff>419405</xdr:colOff>
      <xdr:row>30</xdr:row>
      <xdr:rowOff>33989</xdr:rowOff>
    </xdr:from>
    <xdr:to>
      <xdr:col>68</xdr:col>
      <xdr:colOff>176857</xdr:colOff>
      <xdr:row>32</xdr:row>
      <xdr:rowOff>8811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6B8D6C2-C736-CA8F-30D5-C61BFE896E4B}"/>
            </a:ext>
          </a:extLst>
        </xdr:cNvPr>
        <xdr:cNvSpPr/>
      </xdr:nvSpPr>
      <xdr:spPr>
        <a:xfrm>
          <a:off x="45345655" y="6410447"/>
          <a:ext cx="3694452" cy="345239"/>
        </a:xfrm>
        <a:prstGeom prst="rect">
          <a:avLst/>
        </a:prstGeom>
        <a:solidFill>
          <a:srgbClr val="00B050">
            <a:alpha val="43922"/>
          </a:srgb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In-situ Tested regime</a:t>
          </a:r>
        </a:p>
      </xdr:txBody>
    </xdr:sp>
    <xdr:clientData/>
  </xdr:twoCellAnchor>
  <xdr:twoCellAnchor>
    <xdr:from>
      <xdr:col>7</xdr:col>
      <xdr:colOff>131536</xdr:colOff>
      <xdr:row>0</xdr:row>
      <xdr:rowOff>0</xdr:rowOff>
    </xdr:from>
    <xdr:to>
      <xdr:col>12</xdr:col>
      <xdr:colOff>354450</xdr:colOff>
      <xdr:row>16</xdr:row>
      <xdr:rowOff>35378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3C6FE-6150-4552-B85D-A95145264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0.13161</cdr:x>
      <cdr:y>0.1176</cdr:y>
    </cdr:from>
    <cdr:to>
      <cdr:x>0.96777</cdr:x>
      <cdr:y>0.32304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A76931A-1AEC-DF23-9C58-F6DE474CFF0A}"/>
            </a:ext>
          </a:extLst>
        </cdr:cNvPr>
        <cdr:cNvSpPr/>
      </cdr:nvSpPr>
      <cdr:spPr>
        <a:xfrm xmlns:a="http://schemas.openxmlformats.org/drawingml/2006/main">
          <a:off x="603250" y="376464"/>
          <a:ext cx="3832678" cy="657677"/>
        </a:xfrm>
        <a:prstGeom xmlns:a="http://schemas.openxmlformats.org/drawingml/2006/main" prst="rect">
          <a:avLst/>
        </a:prstGeom>
        <a:gradFill xmlns:a="http://schemas.openxmlformats.org/drawingml/2006/main">
          <a:gsLst>
            <a:gs pos="100000">
              <a:srgbClr val="FFFF00">
                <a:alpha val="19000"/>
              </a:srgbClr>
            </a:gs>
            <a:gs pos="10000">
              <a:srgbClr val="FF0000">
                <a:alpha val="55000"/>
              </a:srgbClr>
            </a:gs>
          </a:gsLst>
          <a:lin ang="5400000" scaled="1"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0.26817</cdr:x>
      <cdr:y>0.32445</cdr:y>
    </cdr:from>
    <cdr:to>
      <cdr:x>0.26817</cdr:x>
      <cdr:y>0.82431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84E0AC69-1F9E-41B5-9769-287A04E3DF14}"/>
            </a:ext>
          </a:extLst>
        </cdr:cNvPr>
        <cdr:cNvCxnSpPr/>
      </cdr:nvCxnSpPr>
      <cdr:spPr>
        <a:xfrm xmlns:a="http://schemas.openxmlformats.org/drawingml/2006/main">
          <a:off x="1229178" y="1038677"/>
          <a:ext cx="0" cy="16002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FF000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0.40294</cdr:x>
      <cdr:y>0.33041</cdr:y>
    </cdr:from>
    <cdr:to>
      <cdr:x>0.40294</cdr:x>
      <cdr:y>0.83026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FBA2B511-A608-AADB-DC18-2AE2B42FDCF2}"/>
            </a:ext>
          </a:extLst>
        </cdr:cNvPr>
        <cdr:cNvCxnSpPr/>
      </cdr:nvCxnSpPr>
      <cdr:spPr>
        <a:xfrm xmlns:a="http://schemas.openxmlformats.org/drawingml/2006/main">
          <a:off x="1846944" y="1057728"/>
          <a:ext cx="0" cy="16002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chemeClr val="tx1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0.66438</cdr:x>
      <cdr:y>0.33211</cdr:y>
    </cdr:from>
    <cdr:to>
      <cdr:x>0.66438</cdr:x>
      <cdr:y>0.83196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7A70494C-B857-7429-76EF-49C82F213522}"/>
            </a:ext>
          </a:extLst>
        </cdr:cNvPr>
        <cdr:cNvCxnSpPr/>
      </cdr:nvCxnSpPr>
      <cdr:spPr>
        <a:xfrm xmlns:a="http://schemas.openxmlformats.org/drawingml/2006/main">
          <a:off x="3045280" y="1063170"/>
          <a:ext cx="0" cy="160020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prstDash val="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0.12475</cdr:x>
      <cdr:y>0.32361</cdr:y>
    </cdr:from>
    <cdr:to>
      <cdr:x>0.96487</cdr:x>
      <cdr:y>0.32361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EF44A13-0587-D771-C26E-DADD680FE8C2}"/>
            </a:ext>
          </a:extLst>
        </cdr:cNvPr>
        <cdr:cNvCxnSpPr/>
      </cdr:nvCxnSpPr>
      <cdr:spPr>
        <a:xfrm xmlns:a="http://schemas.openxmlformats.org/drawingml/2006/main" flipH="1">
          <a:off x="536731" y="1072564"/>
          <a:ext cx="3614500" cy="0"/>
        </a:xfrm>
        <a:prstGeom xmlns:a="http://schemas.openxmlformats.org/drawingml/2006/main" prst="straightConnector1">
          <a:avLst/>
        </a:prstGeom>
        <a:ln xmlns:a="http://schemas.openxmlformats.org/drawingml/2006/main" w="15875">
          <a:solidFill>
            <a:srgbClr val="00B050"/>
          </a:solidFill>
          <a:prstDash val="sys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74"/>
  <sheetViews>
    <sheetView workbookViewId="0">
      <selection activeCell="H11" sqref="H11"/>
    </sheetView>
  </sheetViews>
  <sheetFormatPr defaultRowHeight="15" x14ac:dyDescent="0.25"/>
  <cols>
    <col min="1" max="1" width="23.85546875" customWidth="1"/>
    <col min="2" max="2" width="11" customWidth="1"/>
    <col min="3" max="3" width="12" customWidth="1"/>
    <col min="4" max="4" width="11.5703125" customWidth="1"/>
    <col min="7" max="7" width="11.85546875" bestFit="1" customWidth="1"/>
    <col min="8" max="8" width="14.28515625" customWidth="1"/>
    <col min="9" max="9" width="16.5703125" customWidth="1"/>
    <col min="10" max="10" width="12.28515625" customWidth="1"/>
    <col min="13" max="13" width="13.85546875" customWidth="1"/>
    <col min="16" max="16" width="12.140625" customWidth="1"/>
    <col min="19" max="19" width="12.28515625" customWidth="1"/>
    <col min="21" max="21" width="11.5703125" customWidth="1"/>
    <col min="23" max="23" width="13.42578125" customWidth="1"/>
    <col min="54" max="54" width="13.140625" customWidth="1"/>
  </cols>
  <sheetData>
    <row r="2" spans="1:53" x14ac:dyDescent="0.25">
      <c r="A2" t="s">
        <v>6</v>
      </c>
      <c r="H2" t="s">
        <v>7</v>
      </c>
      <c r="I2">
        <v>500</v>
      </c>
    </row>
    <row r="3" spans="1:53" ht="15.75" thickBot="1" x14ac:dyDescent="0.3">
      <c r="H3" t="s">
        <v>8</v>
      </c>
      <c r="I3" t="s">
        <v>9</v>
      </c>
      <c r="J3" t="s">
        <v>10</v>
      </c>
      <c r="P3" t="s">
        <v>11</v>
      </c>
      <c r="Q3" t="s">
        <v>12</v>
      </c>
      <c r="R3">
        <v>0.05</v>
      </c>
    </row>
    <row r="4" spans="1:53" x14ac:dyDescent="0.25">
      <c r="A4" s="12" t="s">
        <v>13</v>
      </c>
      <c r="B4" s="15" t="s">
        <v>14</v>
      </c>
      <c r="C4" s="19">
        <v>35</v>
      </c>
      <c r="D4" s="6" t="s">
        <v>15</v>
      </c>
      <c r="E4" s="7">
        <f>C4*PI()/180</f>
        <v>0.6108652381980153</v>
      </c>
      <c r="F4" s="8" t="s">
        <v>16</v>
      </c>
      <c r="G4" t="s">
        <v>12</v>
      </c>
      <c r="J4" t="s">
        <v>17</v>
      </c>
      <c r="K4" t="s">
        <v>18</v>
      </c>
      <c r="P4" t="s">
        <v>10</v>
      </c>
      <c r="Q4" t="s">
        <v>4</v>
      </c>
    </row>
    <row r="5" spans="1:53" x14ac:dyDescent="0.25">
      <c r="A5" s="13" t="s">
        <v>19</v>
      </c>
      <c r="B5" s="16" t="s">
        <v>20</v>
      </c>
      <c r="C5" s="20">
        <v>0</v>
      </c>
      <c r="D5" t="s">
        <v>15</v>
      </c>
      <c r="E5" s="5">
        <f t="shared" ref="E5:E6" si="0">C5*PI()/180</f>
        <v>0</v>
      </c>
      <c r="F5" s="9" t="s">
        <v>16</v>
      </c>
      <c r="P5">
        <v>20</v>
      </c>
      <c r="Q5">
        <v>360</v>
      </c>
    </row>
    <row r="6" spans="1:53" x14ac:dyDescent="0.25">
      <c r="A6" s="13" t="s">
        <v>21</v>
      </c>
      <c r="B6" s="16" t="s">
        <v>5</v>
      </c>
      <c r="C6" s="20">
        <v>5</v>
      </c>
      <c r="D6" t="s">
        <v>15</v>
      </c>
      <c r="E6" s="5">
        <f t="shared" si="0"/>
        <v>8.7266462599716474E-2</v>
      </c>
      <c r="F6" s="9" t="s">
        <v>16</v>
      </c>
      <c r="G6">
        <v>5.0000000000000001E-3</v>
      </c>
      <c r="H6">
        <v>49.53</v>
      </c>
      <c r="I6">
        <v>0.36</v>
      </c>
      <c r="J6" s="25">
        <f>$I$2^(1/I6)*(1/H6)^(1/I6)</f>
        <v>615.41959940443087</v>
      </c>
      <c r="K6" s="5">
        <f>J6/60</f>
        <v>10.256993323407182</v>
      </c>
      <c r="L6" s="2">
        <f>J6*1.666</f>
        <v>1025.2890526077817</v>
      </c>
      <c r="P6">
        <v>40</v>
      </c>
      <c r="Q6">
        <v>400</v>
      </c>
    </row>
    <row r="7" spans="1:53" ht="18" x14ac:dyDescent="0.35">
      <c r="A7" s="13" t="s">
        <v>22</v>
      </c>
      <c r="B7" s="17" t="s">
        <v>23</v>
      </c>
      <c r="C7" s="20">
        <v>10</v>
      </c>
      <c r="D7" t="s">
        <v>24</v>
      </c>
      <c r="E7" s="3">
        <f>C7*10^-6</f>
        <v>9.9999999999999991E-6</v>
      </c>
      <c r="F7" s="9" t="s">
        <v>0</v>
      </c>
      <c r="G7">
        <v>0.02</v>
      </c>
      <c r="H7">
        <v>60</v>
      </c>
      <c r="I7">
        <v>0.38279999999999997</v>
      </c>
      <c r="J7" s="25">
        <f>$I$2^(1/I7)*(1/H7)^(1/I7)</f>
        <v>254.37980983810058</v>
      </c>
      <c r="K7" s="5">
        <f>J7/60</f>
        <v>4.2396634973016765</v>
      </c>
      <c r="L7" s="2">
        <f t="shared" ref="L7:L10" si="1">J7*1.666</f>
        <v>423.79676319027556</v>
      </c>
      <c r="P7">
        <v>60</v>
      </c>
      <c r="Q7">
        <v>430</v>
      </c>
    </row>
    <row r="8" spans="1:53" ht="18" x14ac:dyDescent="0.35">
      <c r="A8" s="13" t="s">
        <v>25</v>
      </c>
      <c r="B8" s="17" t="s">
        <v>26</v>
      </c>
      <c r="C8" s="21">
        <f>C7/(2*TAN(E6))</f>
        <v>57.150261513806711</v>
      </c>
      <c r="D8" t="s">
        <v>24</v>
      </c>
      <c r="E8" s="3">
        <f>C8*10^-6</f>
        <v>5.715026151380671E-5</v>
      </c>
      <c r="F8" s="9" t="s">
        <v>0</v>
      </c>
      <c r="G8">
        <v>0.04</v>
      </c>
      <c r="H8">
        <v>84.31</v>
      </c>
      <c r="I8">
        <v>0.40100000000000002</v>
      </c>
      <c r="J8" s="25">
        <f>$I$2^(1/I8)*(1/H8)^(1/I8)</f>
        <v>84.704701978053649</v>
      </c>
      <c r="K8" s="5">
        <f t="shared" ref="K8:K10" si="2">J8/60</f>
        <v>1.4117450329675607</v>
      </c>
      <c r="L8" s="2">
        <f t="shared" si="1"/>
        <v>141.11803349543737</v>
      </c>
      <c r="P8">
        <v>80</v>
      </c>
      <c r="Q8">
        <v>470</v>
      </c>
    </row>
    <row r="9" spans="1:53" x14ac:dyDescent="0.25">
      <c r="A9" s="13" t="s">
        <v>27</v>
      </c>
      <c r="B9" s="17" t="s">
        <v>12</v>
      </c>
      <c r="C9" s="21">
        <v>0.1</v>
      </c>
      <c r="D9" t="s">
        <v>28</v>
      </c>
      <c r="E9" s="3">
        <f>C9*10^-3</f>
        <v>1E-4</v>
      </c>
      <c r="F9" s="9" t="s">
        <v>0</v>
      </c>
      <c r="G9">
        <v>0.08</v>
      </c>
      <c r="H9">
        <v>151.4</v>
      </c>
      <c r="I9">
        <v>0.36899999999999999</v>
      </c>
      <c r="J9" s="25">
        <f>$I$2^(1/I9)*(1/H9)^(1/I9)</f>
        <v>25.473091222700901</v>
      </c>
      <c r="K9" s="5">
        <f t="shared" si="2"/>
        <v>0.42455152037834837</v>
      </c>
      <c r="L9" s="2">
        <f t="shared" si="1"/>
        <v>42.438169977019697</v>
      </c>
      <c r="P9">
        <v>100</v>
      </c>
      <c r="Q9">
        <v>490</v>
      </c>
    </row>
    <row r="10" spans="1:53" ht="18" x14ac:dyDescent="0.35">
      <c r="A10" s="13" t="s">
        <v>29</v>
      </c>
      <c r="B10" s="17" t="s">
        <v>30</v>
      </c>
      <c r="C10" s="21">
        <f>C9/SIN(E4)</f>
        <v>0.17434467956210983</v>
      </c>
      <c r="D10" t="s">
        <v>28</v>
      </c>
      <c r="E10" s="3">
        <f>C10*10^-3</f>
        <v>1.7434467956210984E-4</v>
      </c>
      <c r="F10" s="9" t="s">
        <v>0</v>
      </c>
      <c r="G10">
        <v>0.12</v>
      </c>
      <c r="H10">
        <v>160.72</v>
      </c>
      <c r="I10" s="5">
        <v>0.38600000000000001</v>
      </c>
      <c r="J10" s="25">
        <f>$I$2^(1/I10)*(1/H10)^(1/I10)</f>
        <v>18.920962021010727</v>
      </c>
      <c r="K10" s="5">
        <f t="shared" si="2"/>
        <v>0.31534936701684546</v>
      </c>
      <c r="L10" s="2">
        <f t="shared" si="1"/>
        <v>31.522322727003868</v>
      </c>
    </row>
    <row r="11" spans="1:53" x14ac:dyDescent="0.25">
      <c r="A11" s="13" t="s">
        <v>31</v>
      </c>
      <c r="B11" s="17" t="s">
        <v>32</v>
      </c>
      <c r="C11" s="26">
        <v>3</v>
      </c>
      <c r="D11" t="s">
        <v>28</v>
      </c>
      <c r="E11" s="3">
        <f>C11*10^-3</f>
        <v>3.0000000000000001E-3</v>
      </c>
      <c r="F11" s="9" t="s">
        <v>0</v>
      </c>
      <c r="AY11" t="s">
        <v>33</v>
      </c>
      <c r="AZ11" t="s">
        <v>34</v>
      </c>
      <c r="BA11" t="s">
        <v>35</v>
      </c>
    </row>
    <row r="12" spans="1:53" ht="18" x14ac:dyDescent="0.35">
      <c r="A12" s="13" t="s">
        <v>36</v>
      </c>
      <c r="B12" s="17" t="s">
        <v>37</v>
      </c>
      <c r="C12" s="27">
        <f>1793*C9^-0.117*C11*C9*((100-C5)/100)*0.666</f>
        <v>469.00316494999976</v>
      </c>
      <c r="D12" t="s">
        <v>38</v>
      </c>
      <c r="E12" s="3"/>
      <c r="F12" s="9"/>
      <c r="AY12">
        <v>1</v>
      </c>
      <c r="AZ12" s="2">
        <f>M21</f>
        <v>119.03680732899932</v>
      </c>
      <c r="BA12" s="2">
        <f>N21</f>
        <v>80.086903765316848</v>
      </c>
    </row>
    <row r="13" spans="1:53" ht="18.75" thickBot="1" x14ac:dyDescent="0.4">
      <c r="A13" s="14" t="s">
        <v>39</v>
      </c>
      <c r="B13" s="18" t="s">
        <v>40</v>
      </c>
      <c r="C13" s="22">
        <v>250</v>
      </c>
      <c r="D13" s="10" t="s">
        <v>41</v>
      </c>
      <c r="E13" s="10"/>
      <c r="F13" s="11"/>
      <c r="AY13">
        <v>2</v>
      </c>
      <c r="AZ13" s="2">
        <f>S21</f>
        <v>143.38408243347175</v>
      </c>
      <c r="BA13" s="2">
        <f>W21</f>
        <v>188.63758524757375</v>
      </c>
    </row>
    <row r="14" spans="1:53" x14ac:dyDescent="0.25">
      <c r="C14">
        <v>0.6</v>
      </c>
      <c r="AY14">
        <v>3</v>
      </c>
      <c r="AZ14" s="2">
        <f>AB21</f>
        <v>138.48499846877903</v>
      </c>
      <c r="BA14" s="2">
        <f>AF21</f>
        <v>169.10507336588341</v>
      </c>
    </row>
    <row r="15" spans="1:53" x14ac:dyDescent="0.25">
      <c r="C15">
        <v>0.6</v>
      </c>
      <c r="AY15">
        <v>4</v>
      </c>
      <c r="AZ15" s="2">
        <f>AK21</f>
        <v>139.4561111792938</v>
      </c>
      <c r="BA15" s="2">
        <f>AO21</f>
        <v>172.21682493021768</v>
      </c>
    </row>
    <row r="16" spans="1:53" x14ac:dyDescent="0.25">
      <c r="O16" s="38" t="s">
        <v>42</v>
      </c>
      <c r="X16" s="38" t="s">
        <v>43</v>
      </c>
      <c r="AG16" s="38" t="s">
        <v>44</v>
      </c>
      <c r="AP16" s="38" t="s">
        <v>45</v>
      </c>
      <c r="AY16">
        <v>5</v>
      </c>
      <c r="AZ16" s="2">
        <f>AT21</f>
        <v>139.26303502862675</v>
      </c>
      <c r="BA16" s="2">
        <f>AX21</f>
        <v>171.71110160054297</v>
      </c>
    </row>
    <row r="17" spans="1:54" x14ac:dyDescent="0.25">
      <c r="C17" t="s">
        <v>46</v>
      </c>
      <c r="K17" t="s">
        <v>47</v>
      </c>
      <c r="O17" s="29" t="s">
        <v>48</v>
      </c>
      <c r="P17" s="29"/>
      <c r="Q17" s="29"/>
      <c r="R17" s="29"/>
      <c r="S17" s="29"/>
      <c r="T17" s="4" t="s">
        <v>49</v>
      </c>
      <c r="U17" s="4"/>
      <c r="V17" s="4"/>
      <c r="W17" s="4"/>
      <c r="X17" s="29" t="s">
        <v>48</v>
      </c>
      <c r="Y17" s="29"/>
      <c r="AC17" s="4" t="s">
        <v>49</v>
      </c>
      <c r="AD17" s="4"/>
      <c r="AE17" s="4"/>
      <c r="AF17" s="4"/>
      <c r="AG17" s="29" t="s">
        <v>48</v>
      </c>
      <c r="AH17" s="29"/>
      <c r="AL17" s="4" t="s">
        <v>49</v>
      </c>
      <c r="AM17" s="4"/>
      <c r="AN17" s="4"/>
      <c r="AO17" s="4"/>
      <c r="AP17" s="29" t="s">
        <v>48</v>
      </c>
      <c r="AQ17" s="29"/>
      <c r="AU17" s="4" t="s">
        <v>49</v>
      </c>
      <c r="AV17" s="4"/>
      <c r="AW17" s="4"/>
      <c r="AX17" s="4"/>
      <c r="AZ17" t="s">
        <v>50</v>
      </c>
    </row>
    <row r="18" spans="1:54" ht="60" x14ac:dyDescent="0.25">
      <c r="B18" s="23" t="s">
        <v>51</v>
      </c>
      <c r="C18" s="23" t="s">
        <v>52</v>
      </c>
      <c r="D18" s="23" t="s">
        <v>53</v>
      </c>
      <c r="E18" s="23" t="s">
        <v>54</v>
      </c>
      <c r="F18" s="23" t="s">
        <v>55</v>
      </c>
      <c r="G18" s="23" t="s">
        <v>56</v>
      </c>
      <c r="H18" s="23" t="s">
        <v>57</v>
      </c>
      <c r="I18" s="23" t="s">
        <v>58</v>
      </c>
      <c r="J18" s="23"/>
      <c r="K18" s="23" t="s">
        <v>55</v>
      </c>
      <c r="L18" s="23" t="s">
        <v>59</v>
      </c>
      <c r="M18" s="30" t="s">
        <v>60</v>
      </c>
      <c r="N18" s="34" t="s">
        <v>61</v>
      </c>
      <c r="O18" s="30" t="s">
        <v>54</v>
      </c>
      <c r="P18" s="30" t="s">
        <v>53</v>
      </c>
      <c r="Q18" s="30" t="s">
        <v>55</v>
      </c>
      <c r="R18" s="30" t="s">
        <v>59</v>
      </c>
      <c r="S18" s="30" t="s">
        <v>60</v>
      </c>
      <c r="T18" s="34" t="s">
        <v>54</v>
      </c>
      <c r="U18" s="34" t="s">
        <v>53</v>
      </c>
      <c r="V18" s="34" t="s">
        <v>55</v>
      </c>
      <c r="W18" s="34" t="s">
        <v>61</v>
      </c>
      <c r="X18" s="30" t="s">
        <v>54</v>
      </c>
      <c r="Y18" s="30" t="s">
        <v>53</v>
      </c>
      <c r="Z18" s="30" t="s">
        <v>55</v>
      </c>
      <c r="AA18" s="30" t="s">
        <v>59</v>
      </c>
      <c r="AB18" s="30" t="s">
        <v>60</v>
      </c>
      <c r="AC18" s="34" t="s">
        <v>54</v>
      </c>
      <c r="AD18" s="34" t="s">
        <v>53</v>
      </c>
      <c r="AE18" s="34" t="s">
        <v>55</v>
      </c>
      <c r="AF18" s="34" t="s">
        <v>61</v>
      </c>
      <c r="AG18" s="30" t="s">
        <v>54</v>
      </c>
      <c r="AH18" s="30" t="s">
        <v>53</v>
      </c>
      <c r="AI18" s="30" t="s">
        <v>55</v>
      </c>
      <c r="AJ18" s="30" t="s">
        <v>59</v>
      </c>
      <c r="AK18" s="30" t="s">
        <v>60</v>
      </c>
      <c r="AL18" s="34" t="s">
        <v>54</v>
      </c>
      <c r="AM18" s="34" t="s">
        <v>53</v>
      </c>
      <c r="AN18" s="34" t="s">
        <v>55</v>
      </c>
      <c r="AO18" s="34" t="s">
        <v>61</v>
      </c>
      <c r="AP18" s="30" t="s">
        <v>54</v>
      </c>
      <c r="AQ18" s="30" t="s">
        <v>53</v>
      </c>
      <c r="AR18" s="30" t="s">
        <v>55</v>
      </c>
      <c r="AS18" s="30" t="s">
        <v>59</v>
      </c>
      <c r="AT18" s="30" t="s">
        <v>60</v>
      </c>
      <c r="AU18" s="34" t="s">
        <v>54</v>
      </c>
      <c r="AV18" s="34" t="s">
        <v>53</v>
      </c>
      <c r="AW18" s="34" t="s">
        <v>55</v>
      </c>
      <c r="AX18" s="34" t="s">
        <v>61</v>
      </c>
      <c r="AY18" s="23" t="s">
        <v>62</v>
      </c>
      <c r="AZ18" s="30" t="s">
        <v>63</v>
      </c>
      <c r="BA18" s="34" t="s">
        <v>35</v>
      </c>
      <c r="BB18" s="41" t="s">
        <v>64</v>
      </c>
    </row>
    <row r="19" spans="1:54" ht="18" x14ac:dyDescent="0.35"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s="1" t="s">
        <v>70</v>
      </c>
      <c r="H19" s="1" t="s">
        <v>71</v>
      </c>
      <c r="I19" s="1" t="s">
        <v>9</v>
      </c>
      <c r="J19" s="1" t="s">
        <v>72</v>
      </c>
      <c r="K19" s="1" t="s">
        <v>73</v>
      </c>
      <c r="L19" s="1" t="s">
        <v>3</v>
      </c>
      <c r="M19" s="31" t="s">
        <v>74</v>
      </c>
      <c r="N19" s="35" t="s">
        <v>74</v>
      </c>
      <c r="O19" s="29" t="s">
        <v>68</v>
      </c>
      <c r="P19" s="29" t="s">
        <v>67</v>
      </c>
      <c r="Q19" s="31" t="s">
        <v>73</v>
      </c>
      <c r="R19" s="31" t="s">
        <v>3</v>
      </c>
      <c r="S19" s="31" t="s">
        <v>74</v>
      </c>
      <c r="T19" s="4" t="s">
        <v>68</v>
      </c>
      <c r="U19" s="4" t="s">
        <v>67</v>
      </c>
      <c r="V19" s="35" t="s">
        <v>73</v>
      </c>
      <c r="W19" s="35" t="s">
        <v>74</v>
      </c>
      <c r="X19" s="29" t="s">
        <v>68</v>
      </c>
      <c r="Y19" s="29" t="s">
        <v>67</v>
      </c>
      <c r="Z19" s="31" t="s">
        <v>73</v>
      </c>
      <c r="AA19" s="31" t="s">
        <v>3</v>
      </c>
      <c r="AB19" s="31" t="s">
        <v>74</v>
      </c>
      <c r="AC19" s="4" t="s">
        <v>68</v>
      </c>
      <c r="AD19" s="4" t="s">
        <v>67</v>
      </c>
      <c r="AE19" s="35" t="s">
        <v>73</v>
      </c>
      <c r="AF19" s="35" t="s">
        <v>74</v>
      </c>
      <c r="AG19" s="29" t="s">
        <v>68</v>
      </c>
      <c r="AH19" s="29" t="s">
        <v>67</v>
      </c>
      <c r="AI19" s="31" t="s">
        <v>73</v>
      </c>
      <c r="AJ19" s="31" t="s">
        <v>3</v>
      </c>
      <c r="AK19" s="31" t="s">
        <v>74</v>
      </c>
      <c r="AL19" s="4" t="s">
        <v>68</v>
      </c>
      <c r="AM19" s="4" t="s">
        <v>67</v>
      </c>
      <c r="AN19" s="35" t="s">
        <v>73</v>
      </c>
      <c r="AO19" s="35" t="s">
        <v>74</v>
      </c>
      <c r="AP19" s="29" t="s">
        <v>68</v>
      </c>
      <c r="AQ19" s="29" t="s">
        <v>67</v>
      </c>
      <c r="AR19" s="31" t="s">
        <v>73</v>
      </c>
      <c r="AS19" s="31" t="s">
        <v>3</v>
      </c>
      <c r="AT19" s="31" t="s">
        <v>74</v>
      </c>
      <c r="AU19" s="4" t="s">
        <v>68</v>
      </c>
      <c r="AV19" s="4" t="s">
        <v>67</v>
      </c>
      <c r="AW19" s="35" t="s">
        <v>73</v>
      </c>
      <c r="AX19" s="35" t="s">
        <v>74</v>
      </c>
      <c r="AZ19" s="31" t="s">
        <v>74</v>
      </c>
      <c r="BA19" s="35" t="s">
        <v>74</v>
      </c>
      <c r="BB19" s="42" t="s">
        <v>74</v>
      </c>
    </row>
    <row r="20" spans="1:54" x14ac:dyDescent="0.25">
      <c r="A20" t="s">
        <v>75</v>
      </c>
      <c r="B20" t="s">
        <v>76</v>
      </c>
      <c r="C20" t="s">
        <v>41</v>
      </c>
      <c r="D20" t="s">
        <v>2</v>
      </c>
      <c r="E20" t="s">
        <v>1</v>
      </c>
      <c r="F20" t="s">
        <v>77</v>
      </c>
      <c r="G20" t="s">
        <v>0</v>
      </c>
      <c r="H20" t="s">
        <v>0</v>
      </c>
      <c r="I20" t="s">
        <v>0</v>
      </c>
      <c r="J20" t="s">
        <v>78</v>
      </c>
      <c r="M20" s="29" t="s">
        <v>79</v>
      </c>
      <c r="N20" s="4" t="s">
        <v>79</v>
      </c>
      <c r="O20" s="29" t="s">
        <v>1</v>
      </c>
      <c r="P20" s="29" t="s">
        <v>2</v>
      </c>
      <c r="Q20" s="29"/>
      <c r="R20" s="29"/>
      <c r="S20" s="29" t="s">
        <v>79</v>
      </c>
      <c r="T20" s="4" t="s">
        <v>1</v>
      </c>
      <c r="U20" s="4" t="s">
        <v>2</v>
      </c>
      <c r="V20" s="4"/>
      <c r="W20" s="4" t="s">
        <v>79</v>
      </c>
      <c r="X20" s="29" t="s">
        <v>1</v>
      </c>
      <c r="Y20" s="29" t="s">
        <v>2</v>
      </c>
      <c r="Z20" s="29"/>
      <c r="AA20" s="29"/>
      <c r="AB20" s="29" t="s">
        <v>79</v>
      </c>
      <c r="AC20" s="4" t="s">
        <v>1</v>
      </c>
      <c r="AD20" s="4" t="s">
        <v>2</v>
      </c>
      <c r="AE20" s="4"/>
      <c r="AF20" s="4" t="s">
        <v>79</v>
      </c>
      <c r="AG20" s="29" t="s">
        <v>1</v>
      </c>
      <c r="AH20" s="29" t="s">
        <v>2</v>
      </c>
      <c r="AI20" s="29"/>
      <c r="AJ20" s="29"/>
      <c r="AK20" s="29" t="s">
        <v>79</v>
      </c>
      <c r="AL20" s="4" t="s">
        <v>1</v>
      </c>
      <c r="AM20" s="4" t="s">
        <v>2</v>
      </c>
      <c r="AN20" s="4"/>
      <c r="AO20" s="4" t="s">
        <v>79</v>
      </c>
      <c r="AP20" s="29" t="s">
        <v>1</v>
      </c>
      <c r="AQ20" s="29" t="s">
        <v>2</v>
      </c>
      <c r="AR20" s="29"/>
      <c r="AS20" s="29"/>
      <c r="AT20" s="29" t="s">
        <v>79</v>
      </c>
      <c r="AU20" s="4" t="s">
        <v>1</v>
      </c>
      <c r="AV20" s="4" t="s">
        <v>2</v>
      </c>
      <c r="AW20" s="4"/>
      <c r="AX20" s="4" t="s">
        <v>79</v>
      </c>
      <c r="AZ20" s="29" t="s">
        <v>79</v>
      </c>
      <c r="BA20" s="4" t="s">
        <v>79</v>
      </c>
      <c r="BB20" s="43" t="s">
        <v>79</v>
      </c>
    </row>
    <row r="21" spans="1:54" x14ac:dyDescent="0.25">
      <c r="A21">
        <f>B21*60</f>
        <v>3</v>
      </c>
      <c r="B21">
        <v>0.05</v>
      </c>
      <c r="C21">
        <f>C13</f>
        <v>250</v>
      </c>
      <c r="D21" s="2">
        <f>((1.12*10^-5)*(C21^2))+(0.00982*C21)+6.4</f>
        <v>9.5549999999999997</v>
      </c>
      <c r="E21" s="2">
        <f>((1.71*10^-6)*(C21^3))-(0.00173*(C21^2))+(0.6*C21)+536</f>
        <v>604.59375</v>
      </c>
      <c r="F21" s="25">
        <f>B21*$E$10*4500*E21/(4*D21)</f>
        <v>0.62053200711737255</v>
      </c>
      <c r="G21">
        <f>SQRT($E$10^2/F21)</f>
        <v>2.2132302883390778E-4</v>
      </c>
      <c r="H21">
        <f>G21/SIN($E$4)</f>
        <v>3.8586492541763242E-4</v>
      </c>
      <c r="I21" s="3">
        <f>(H21+$E$8)/2</f>
        <v>2.2150759346571957E-4</v>
      </c>
      <c r="J21" s="28">
        <f>IF(0.6*F21^-0.4&gt;1,1,0.6*F21^-0.4)</f>
        <v>0.72618215994659308</v>
      </c>
      <c r="K21" s="24">
        <f>(B21*I21*4500*E21)/(2*D21)</f>
        <v>1.576790893880474</v>
      </c>
      <c r="L21" s="24">
        <f>(0.00527*(K21^3))-(0.192*(K21^2))+2.39*K21</f>
        <v>3.3118266120006203</v>
      </c>
      <c r="M21" s="39">
        <f>$C$14*L21*0.159*$C$12*J21*2/(4500*E21*$E$11*I21)</f>
        <v>119.03680732899932</v>
      </c>
      <c r="N21" s="40">
        <f>$C$15*0.399*$C$12*J21*B21/(D21*$E$11)*SQRT(D21/(4500*E21*B21*I21))</f>
        <v>80.086903765316848</v>
      </c>
      <c r="O21" s="32">
        <f>((1.71*10^-6)*(M21^3))-(0.00173*(M21^2))+(0.6*M21)+536</f>
        <v>585.79269362377238</v>
      </c>
      <c r="P21" s="32">
        <f>((1.12*10^-5)*(M21^2))+(0.00982*M21)+6.4</f>
        <v>7.7276427767604847</v>
      </c>
      <c r="Q21" s="33">
        <f>($B21*$I21*4500*O21)/(2*P21)</f>
        <v>1.88902651533925</v>
      </c>
      <c r="R21" s="33">
        <f>(0.00527*(Q21^3))-(0.192*(Q21^2))+2.39*Q21</f>
        <v>3.8651607444276967</v>
      </c>
      <c r="S21" s="39">
        <f>$C$14*R21*0.159*$C$12*$J21*2/(4500*O21*$E$11*$I21)</f>
        <v>143.38408243347175</v>
      </c>
      <c r="T21" s="36">
        <f>((1.71*10^-6)*(N21^3))-(0.00173*(N21^2))+(0.6*N21)+536</f>
        <v>573.83445055652749</v>
      </c>
      <c r="U21" s="36">
        <f>((1.12*10^-5)*(N21^2))+(0.00982*N21)+6.4</f>
        <v>7.2582892111082211</v>
      </c>
      <c r="V21" s="37">
        <f>($B21*$I21*4500*T21)/(2*U21)</f>
        <v>1.9701236759134186</v>
      </c>
      <c r="W21" s="40">
        <f>$C$15*0.399*$C$12*$J21*$B21*2/(U21*$E$11)*SQRT(U21/(4500*T21*$B21*$I21))</f>
        <v>188.63758524757375</v>
      </c>
      <c r="X21" s="32">
        <f>((1.71*10^-6)*(S21^3))-(0.00173*(S21^2))+(0.6*S21)+536</f>
        <v>591.50418177244546</v>
      </c>
      <c r="Y21" s="32">
        <f>((1.12*10^-5)*(S21^2))+(0.00982*S21)+6.4</f>
        <v>8.0382924345639246</v>
      </c>
      <c r="Z21" s="33">
        <f>($B21*$I21*4500*X21)/(2*Y21)</f>
        <v>1.8337290227733036</v>
      </c>
      <c r="AA21" s="33">
        <f>(0.00527*(Z21^3))-(0.192*(Z21^2))+2.39*Z21</f>
        <v>3.7694954019984541</v>
      </c>
      <c r="AB21" s="39">
        <f>$C$14*AA21*0.159*$C$12*$J21*2/(4500*X21*$E$11*$I21)</f>
        <v>138.48499846877903</v>
      </c>
      <c r="AC21" s="36">
        <f>((1.71*10^-6)*(W21^3))-(0.00173*(W21^2))+(0.6*W21)+536</f>
        <v>599.10037663897026</v>
      </c>
      <c r="AD21" s="36">
        <f>((1.12*10^-5)*(W21^2))+(0.00982*W21)+6.4</f>
        <v>8.6509634390931751</v>
      </c>
      <c r="AE21" s="37">
        <f>($B21*$I21*4500*AC21)/(2*AD21)</f>
        <v>1.7257435435834771</v>
      </c>
      <c r="AF21" s="40">
        <f>$C$15*0.399*$C$12*$J21*$B21*2/(AD21*$E$11)*SQRT(AD21/(4500*AC21*$B21*$I21))</f>
        <v>169.10507336588341</v>
      </c>
      <c r="AG21" s="32">
        <f>((1.71*10^-6)*(AB21^3))-(0.00173*(AB21^2))+(0.6*AB21)+536</f>
        <v>590.45444718953763</v>
      </c>
      <c r="AH21" s="32">
        <f>((1.12*10^-5)*(AB21^2))+(0.00982*AB21)+6.4</f>
        <v>7.9747173467334651</v>
      </c>
      <c r="AI21" s="33">
        <f>($B21*$I21*4500*AG21)/(2*AH21)</f>
        <v>1.8450674200304649</v>
      </c>
      <c r="AJ21" s="33">
        <f>(0.00527*(AI21^3))-(0.192*(AI21^2))+2.39*AI21</f>
        <v>3.7891920414548474</v>
      </c>
      <c r="AK21" s="39">
        <f>$C$14*AJ21*0.159*$C$12*$J21*2/(4500*AG21*$E$11*$I21)</f>
        <v>139.4561111792938</v>
      </c>
      <c r="AL21" s="36">
        <f>((1.71*10^-6)*(AF21^3))-(0.00173*(AF21^2))+(0.6*AF21)+536</f>
        <v>596.26030241540752</v>
      </c>
      <c r="AM21" s="36">
        <f>((1.12*10^-5)*(AF21^2))+(0.00982*AF21)+6.4</f>
        <v>8.3808929098394813</v>
      </c>
      <c r="AN21" s="37">
        <f>($B21*$I21*4500*AL21)/(2*AM21)</f>
        <v>1.7729102298411585</v>
      </c>
      <c r="AO21" s="40">
        <f>$C$15*0.399*$C$12*$J21*$B21*2/(AM21*$E$11)*SQRT(AM21/(4500*AL21*$B21*$I21))</f>
        <v>172.21682493021768</v>
      </c>
      <c r="AP21" s="32">
        <f>((1.71*10^-6)*(AK21^3))-(0.00173*(AK21^2))+(0.6*AK21)+536</f>
        <v>590.66637993839231</v>
      </c>
      <c r="AQ21" s="32">
        <f>((1.12*10^-5)*(AK21^2))+(0.00982*AK21)+6.4</f>
        <v>7.9872766895674827</v>
      </c>
      <c r="AR21" s="33">
        <f>($B21*$I21*4500*AP21)/(2*AQ21)</f>
        <v>1.842827413236763</v>
      </c>
      <c r="AS21" s="33">
        <f>(0.00527*(AR21^3))-(0.192*(AR21^2))+2.39*AR21</f>
        <v>3.7853041054667238</v>
      </c>
      <c r="AT21" s="39">
        <f>$C$14*AS21*0.159*$C$12*$J21*2/(4500*AP21*$E$11*$I21)</f>
        <v>139.26303502862675</v>
      </c>
      <c r="AU21" s="36">
        <f>((1.71*10^-6)*(AO21^3))-(0.00173*(AO21^2))+(0.6*AO21)+536</f>
        <v>596.75485098796196</v>
      </c>
      <c r="AV21" s="36">
        <f>((1.12*10^-5)*(AO21^2))+(0.00982*AO21)+6.4</f>
        <v>8.4233459304520455</v>
      </c>
      <c r="AW21" s="37">
        <f>($B21*$I21*4500*AU21)/(2*AV21)</f>
        <v>1.7654379687784492</v>
      </c>
      <c r="AX21" s="40">
        <f>$C$15*0.399*$C$12*$J21*$B21*2/(AV21*$E$11)*SQRT(AV21/(4500*AU21*$B21*$I21))</f>
        <v>171.71110160054297</v>
      </c>
      <c r="AY21" s="24">
        <f>AVERAGE(AW21,AR21,AN21,AI21,AE21,Z21,V21,Q21)</f>
        <v>1.8306082236870356</v>
      </c>
      <c r="AZ21" s="2">
        <f>AVERAGE(AT21,AK21,AB21,S21)</f>
        <v>140.14705677754284</v>
      </c>
      <c r="BA21" s="2">
        <f>AVERAGE(AX21,AO21,AF21,W21)</f>
        <v>175.41764628605443</v>
      </c>
      <c r="BB21" s="44">
        <f>IF(AY21&gt;5,BA21,AZ21)</f>
        <v>140.14705677754284</v>
      </c>
    </row>
    <row r="22" spans="1:54" x14ac:dyDescent="0.25">
      <c r="A22">
        <f t="shared" ref="A22:A70" si="3">B22*60</f>
        <v>12</v>
      </c>
      <c r="B22">
        <v>0.2</v>
      </c>
      <c r="C22" s="2">
        <f>BB21*1.15</f>
        <v>161.16911529417425</v>
      </c>
      <c r="D22" s="2">
        <f t="shared" ref="D22:D70" si="4">((1.12*10^-5)*(C22^2))+(0.00982*C22)+6.4</f>
        <v>8.2736061299055077</v>
      </c>
      <c r="E22" s="2">
        <f t="shared" ref="E22:E70" si="5">((1.71*10^-6)*(C22^3))-(0.00173*(C22^2))+(0.6*C22)+536</f>
        <v>594.92270453319793</v>
      </c>
      <c r="F22" s="25">
        <f t="shared" ref="F22:F70" si="6">B22*$E$10*4500*E22/(4*D22)</f>
        <v>2.8207001273616306</v>
      </c>
      <c r="G22">
        <f t="shared" ref="G22:G70" si="7">SQRT($E$10^2/F22)</f>
        <v>1.0380786034008264E-4</v>
      </c>
      <c r="H22">
        <f t="shared" ref="H22:H70" si="8">G22/SIN($E$4)</f>
        <v>1.8098348147019955E-4</v>
      </c>
      <c r="I22" s="3">
        <f t="shared" ref="I22:I70" si="9">(H22+$E$8)/2</f>
        <v>1.1906687149200313E-4</v>
      </c>
      <c r="J22" s="28">
        <f t="shared" ref="J22:J70" si="10">IF(0.6*F22^-0.4&gt;1,1,0.6*F22^-0.4)</f>
        <v>0.39628577487654487</v>
      </c>
      <c r="K22" s="24">
        <f t="shared" ref="K22:K70" si="11">(B22*I22*4500*E22)/(2*D22)</f>
        <v>3.8527351729411135</v>
      </c>
      <c r="L22" s="24">
        <f t="shared" ref="L22:L70" si="12">(0.00527*(K22^3))-(0.192*(K22^2))+2.39*K22</f>
        <v>6.6594544871093175</v>
      </c>
      <c r="M22" s="39">
        <f t="shared" ref="M22:M70" si="13">$C$14*L22*0.159*$C$12*J22*2/(4500*E22*$E$11*I22)</f>
        <v>246.95397864912132</v>
      </c>
      <c r="N22" s="40">
        <f t="shared" ref="N22:N70" si="14">$C$15*0.399*$C$12*J22*B22/(D22*$E$11)*SQRT(D22/(4500*E22*B22*I22))</f>
        <v>129.15842031171783</v>
      </c>
      <c r="O22" s="32">
        <f t="shared" ref="O22:O70" si="15">((1.71*10^-6)*(M22^3))-(0.00173*(M22^2))+(0.6*M22)+536</f>
        <v>604.42011471967317</v>
      </c>
      <c r="P22" s="32">
        <f t="shared" ref="P22:P70" si="16">((1.12*10^-5)*(M22^2))+(0.00982*M22)+6.4</f>
        <v>9.5081342671254347</v>
      </c>
      <c r="Q22" s="33">
        <f t="shared" ref="Q22:Q70" si="17">($B22*$I22*4500*O22)/(2*P22)</f>
        <v>3.4060189462090893</v>
      </c>
      <c r="R22" s="33">
        <f t="shared" ref="R22:R70" si="18">(0.00527*(Q22^3))-(0.192*(Q22^2))+2.39*Q22</f>
        <v>6.1212340623591768</v>
      </c>
      <c r="S22" s="39">
        <f t="shared" ref="S22:S70" si="19">$C$14*R22*0.159*$C$12*$J22*2/(4500*O22*$E$11*$I22)</f>
        <v>223.42820331151432</v>
      </c>
      <c r="T22" s="36">
        <f t="shared" ref="T22:T70" si="20">((1.71*10^-6)*(N22^3))-(0.00173*(N22^2))+(0.6*N22)+536</f>
        <v>588.31974832998355</v>
      </c>
      <c r="U22" s="36">
        <f t="shared" ref="U22:U70" si="21">((1.12*10^-5)*(N22^2))+(0.00982*N22)+6.4</f>
        <v>7.8551729398801555</v>
      </c>
      <c r="V22" s="37">
        <f t="shared" ref="V22:V70" si="22">($B22*$I22*4500*T22)/(2*U22)</f>
        <v>4.012925823916631</v>
      </c>
      <c r="W22" s="40">
        <f t="shared" ref="W22:W70" si="23">$C$15*0.399*$C$12*$J22*$B22*2/(U22*$E$11)*SQRT(U22/(4500*T22*$B22*$I22))</f>
        <v>266.59120912351608</v>
      </c>
      <c r="X22" s="32">
        <f t="shared" ref="X22:X70" si="24">((1.71*10^-6)*(S22^3))-(0.00173*(S22^2))+(0.6*S22)+536</f>
        <v>602.76764997871783</v>
      </c>
      <c r="Y22" s="32">
        <f t="shared" ref="Y22:Y70" si="25">((1.12*10^-5)*(S22^2))+(0.00982*S22)+6.4</f>
        <v>9.1531707713111992</v>
      </c>
      <c r="Z22" s="33">
        <f t="shared" ref="Z22:Z70" si="26">($B22*$I22*4500*X22)/(2*Y22)</f>
        <v>3.5284326110275606</v>
      </c>
      <c r="AA22" s="33">
        <f t="shared" ref="AA22:AA70" si="27">(0.00527*(Z22^3))-(0.192*(Z22^2))+2.39*Z22</f>
        <v>6.2740880153134206</v>
      </c>
      <c r="AB22" s="39">
        <f t="shared" ref="AB22:AB70" si="28">$C$14*AA22*0.159*$C$12*$J22*2/(4500*X22*$E$11*$I22)</f>
        <v>229.63526678072148</v>
      </c>
      <c r="AC22" s="36">
        <f t="shared" ref="AC22:AC70" si="29">((1.71*10^-6)*(W22^3))-(0.00173*(W22^2))+(0.6*W22)+536</f>
        <v>605.40126310472124</v>
      </c>
      <c r="AD22" s="36">
        <f t="shared" ref="AD22:AD70" si="30">((1.12*10^-5)*(W22^2))+(0.00982*W22)+6.4</f>
        <v>9.8139194487506369</v>
      </c>
      <c r="AE22" s="37">
        <f t="shared" ref="AE22:AE70" si="31">($B22*$I22*4500*AC22)/(2*AD22)</f>
        <v>3.3052498186097563</v>
      </c>
      <c r="AF22" s="40">
        <f t="shared" ref="AF22:AF70" si="32">$C$15*0.399*$C$12*$J22*$B22*2/(AD22*$E$11)*SQRT(AD22/(4500*AC22*$B22*$I22))</f>
        <v>235.11888166245723</v>
      </c>
      <c r="AG22" s="32">
        <f t="shared" ref="AG22:AG70" si="33">((1.71*10^-6)*(AB22^3))-(0.00173*(AB22^2))+(0.6*AB22)+536</f>
        <v>603.2609312945367</v>
      </c>
      <c r="AH22" s="32">
        <f t="shared" ref="AH22:AH70" si="34">((1.12*10^-5)*(AB22^2))+(0.00982*AB22)+6.4</f>
        <v>9.2456207041805598</v>
      </c>
      <c r="AI22" s="33">
        <f t="shared" ref="AI22:AI70" si="35">($B22*$I22*4500*AG22)/(2*AH22)</f>
        <v>3.4960093363500682</v>
      </c>
      <c r="AJ22" s="33">
        <f t="shared" ref="AJ22:AJ70" si="36">(0.00527*(AI22^3))-(0.192*(AI22^2))+2.39*AI22</f>
        <v>6.2340019572372114</v>
      </c>
      <c r="AK22" s="39">
        <f t="shared" ref="AK22:AK70" si="37">$C$14*AJ22*0.159*$C$12*$J22*2/(4500*AG22*$E$11*$I22)</f>
        <v>227.98152266072955</v>
      </c>
      <c r="AL22" s="36">
        <f t="shared" ref="AL22:AL70" si="38">((1.71*10^-6)*(AF22^3))-(0.00173*(AF22^2))+(0.6*AF22)+536</f>
        <v>603.66125483885162</v>
      </c>
      <c r="AM22" s="36">
        <f t="shared" ref="AM22:AM70" si="39">((1.12*10^-5)*(AF22^2))+(0.00982*AF22)+6.4</f>
        <v>9.328013369284422</v>
      </c>
      <c r="AN22" s="37">
        <f t="shared" ref="AN22:AN70" si="40">($B22*$I22*4500*AL22)/(2*AM22)</f>
        <v>3.4674291721186421</v>
      </c>
      <c r="AO22" s="40">
        <f t="shared" ref="AO22:AO70" si="41">$C$15*0.399*$C$12*$J22*$B22*2/(AM22*$E$11)*SQRT(AM22/(4500*AL22*$B22*$I22))</f>
        <v>241.51226015942157</v>
      </c>
      <c r="AP22" s="32">
        <f t="shared" ref="AP22:AP70" si="42">((1.71*10^-6)*(AK22^3))-(0.00173*(AK22^2))+(0.6*AK22)+536</f>
        <v>603.13376423011323</v>
      </c>
      <c r="AQ22" s="32">
        <f t="shared" ref="AQ22:AQ70" si="43">((1.12*10^-5)*(AK22^2))+(0.00982*AK22)+6.4</f>
        <v>9.2209049888850583</v>
      </c>
      <c r="AR22" s="33">
        <f t="shared" ref="AR22:AR70" si="44">($B22*$I22*4500*AP22)/(2*AQ22)</f>
        <v>3.5046411082304432</v>
      </c>
      <c r="AS22" s="33">
        <f t="shared" ref="AS22:AS70" si="45">(0.00527*(AR22^3))-(0.192*(AR22^2))+2.39*AR22</f>
        <v>6.244701761021175</v>
      </c>
      <c r="AT22" s="39">
        <f t="shared" ref="AT22:AT70" si="46">$C$14*AS22*0.159*$C$12*$J22*2/(4500*AP22*$E$11*$I22)</f>
        <v>228.42097248486505</v>
      </c>
      <c r="AU22" s="36">
        <f t="shared" ref="AU22:AU70" si="47">((1.71*10^-6)*(AO22^3))-(0.00173*(AO22^2))+(0.6*AO22)+536</f>
        <v>604.08833518210122</v>
      </c>
      <c r="AV22" s="36">
        <f t="shared" ref="AV22:AV70" si="48">((1.12*10^-5)*(AO22^2))+(0.00982*AO22)+6.4</f>
        <v>9.4249259190074159</v>
      </c>
      <c r="AW22" s="37">
        <f t="shared" ref="AW22:AW70" si="49">($B22*$I22*4500*AU22)/(2*AV22)</f>
        <v>3.4342029801475777</v>
      </c>
      <c r="AX22" s="40">
        <f t="shared" ref="AX22:AX70" si="50">$C$15*0.399*$C$12*$J22*$B22*2/(AV22*$E$11)*SQRT(AV22/(4500*AU22*$B22*$I22))</f>
        <v>240.18241968853005</v>
      </c>
      <c r="AY22" s="24">
        <f t="shared" ref="AY22:AY70" si="51">AVERAGE(AW22,AR22,AN22,AI22,AE22,Z22,V22,Q22)</f>
        <v>3.5193637245762215</v>
      </c>
      <c r="AZ22" s="2">
        <f t="shared" ref="AZ22:AZ70" si="52">AVERAGE(AT22,AK22,AB22,S22)</f>
        <v>227.36649130945761</v>
      </c>
      <c r="BA22" s="2">
        <f t="shared" ref="BA22:BA70" si="53">AVERAGE(AX22,AO22,AF22,W22)</f>
        <v>245.85119265848124</v>
      </c>
      <c r="BB22" s="44">
        <f t="shared" ref="BB22:BB70" si="54">IF(AY22&gt;5,BA22,AZ22)</f>
        <v>227.36649130945761</v>
      </c>
    </row>
    <row r="23" spans="1:54" x14ac:dyDescent="0.25">
      <c r="A23">
        <f t="shared" si="3"/>
        <v>18</v>
      </c>
      <c r="B23">
        <v>0.3</v>
      </c>
      <c r="C23" s="2">
        <f t="shared" ref="C23:C70" si="55">BB22*1.15</f>
        <v>261.47146500587621</v>
      </c>
      <c r="D23" s="2">
        <f t="shared" si="4"/>
        <v>9.7333638488956797</v>
      </c>
      <c r="E23" s="2">
        <f t="shared" si="5"/>
        <v>605.17554308289778</v>
      </c>
      <c r="F23" s="25">
        <f t="shared" si="6"/>
        <v>3.6584816923786048</v>
      </c>
      <c r="G23">
        <f t="shared" si="7"/>
        <v>9.115033215908647E-5</v>
      </c>
      <c r="H23">
        <f t="shared" si="8"/>
        <v>1.5891575452255805E-4</v>
      </c>
      <c r="I23" s="3">
        <f t="shared" si="9"/>
        <v>1.0803300801818238E-4</v>
      </c>
      <c r="J23" s="28">
        <f t="shared" si="10"/>
        <v>0.35713375159346522</v>
      </c>
      <c r="K23" s="24">
        <f t="shared" si="11"/>
        <v>4.5339700987698803</v>
      </c>
      <c r="L23" s="24">
        <f t="shared" si="12"/>
        <v>7.3804533112626007</v>
      </c>
      <c r="M23" s="39">
        <f t="shared" si="13"/>
        <v>267.23692840303323</v>
      </c>
      <c r="N23" s="40">
        <f t="shared" si="14"/>
        <v>136.80864247427664</v>
      </c>
      <c r="O23" s="32">
        <f t="shared" si="15"/>
        <v>605.4283540675483</v>
      </c>
      <c r="P23" s="32">
        <f t="shared" si="16"/>
        <v>9.8241210870234106</v>
      </c>
      <c r="Q23" s="33">
        <f t="shared" si="17"/>
        <v>4.4939609165822478</v>
      </c>
      <c r="R23" s="33">
        <f t="shared" si="18"/>
        <v>7.3412930403171117</v>
      </c>
      <c r="S23" s="39">
        <f t="shared" si="19"/>
        <v>265.70798523454278</v>
      </c>
      <c r="T23" s="36">
        <f t="shared" si="20"/>
        <v>590.08407392996571</v>
      </c>
      <c r="U23" s="36">
        <f t="shared" si="21"/>
        <v>7.9530868412407267</v>
      </c>
      <c r="V23" s="37">
        <f t="shared" si="22"/>
        <v>5.410512567623929</v>
      </c>
      <c r="W23" s="40">
        <f t="shared" si="23"/>
        <v>306.54263314910969</v>
      </c>
      <c r="X23" s="32">
        <f t="shared" si="24"/>
        <v>605.36371779005913</v>
      </c>
      <c r="Y23" s="32">
        <f t="shared" si="25"/>
        <v>9.7999806292780907</v>
      </c>
      <c r="Z23" s="33">
        <f t="shared" si="26"/>
        <v>4.5045500037232955</v>
      </c>
      <c r="AA23" s="33">
        <f t="shared" si="27"/>
        <v>7.3516950460235275</v>
      </c>
      <c r="AB23" s="39">
        <f t="shared" si="28"/>
        <v>266.11288203640697</v>
      </c>
      <c r="AC23" s="36">
        <f t="shared" si="29"/>
        <v>606.61736336027104</v>
      </c>
      <c r="AD23" s="36">
        <f t="shared" si="30"/>
        <v>10.462694580029742</v>
      </c>
      <c r="AE23" s="37">
        <f t="shared" si="31"/>
        <v>4.2279664321220869</v>
      </c>
      <c r="AF23" s="40">
        <f t="shared" si="32"/>
        <v>263.59459459019041</v>
      </c>
      <c r="AG23" s="32">
        <f t="shared" si="33"/>
        <v>605.3810003443831</v>
      </c>
      <c r="AH23" s="32">
        <f t="shared" si="34"/>
        <v>9.8063684406376108</v>
      </c>
      <c r="AI23" s="33">
        <f t="shared" si="35"/>
        <v>4.5017442828718695</v>
      </c>
      <c r="AJ23" s="33">
        <f t="shared" si="36"/>
        <v>7.3489415341071966</v>
      </c>
      <c r="AK23" s="39">
        <f t="shared" si="37"/>
        <v>266.00561762043981</v>
      </c>
      <c r="AL23" s="36">
        <f t="shared" si="38"/>
        <v>605.27154180855553</v>
      </c>
      <c r="AM23" s="36">
        <f t="shared" si="39"/>
        <v>9.7666985542039395</v>
      </c>
      <c r="AN23" s="37">
        <f t="shared" si="40"/>
        <v>4.5192119785793805</v>
      </c>
      <c r="AO23" s="40">
        <f t="shared" si="41"/>
        <v>273.12828220019009</v>
      </c>
      <c r="AP23" s="32">
        <f t="shared" si="42"/>
        <v>605.37643356178933</v>
      </c>
      <c r="AQ23" s="32">
        <f t="shared" si="43"/>
        <v>9.8046758374157932</v>
      </c>
      <c r="AR23" s="33">
        <f t="shared" si="44"/>
        <v>4.5024874636559096</v>
      </c>
      <c r="AS23" s="33">
        <f t="shared" si="45"/>
        <v>7.3496710709420778</v>
      </c>
      <c r="AT23" s="39">
        <f t="shared" si="46"/>
        <v>266.0340311339844</v>
      </c>
      <c r="AU23" s="36">
        <f t="shared" si="47"/>
        <v>605.66204078776809</v>
      </c>
      <c r="AV23" s="36">
        <f t="shared" si="48"/>
        <v>9.9176291868272859</v>
      </c>
      <c r="AW23" s="37">
        <f t="shared" si="49"/>
        <v>4.4533079772792235</v>
      </c>
      <c r="AX23" s="40">
        <f t="shared" si="50"/>
        <v>270.954633217219</v>
      </c>
      <c r="AY23" s="24">
        <f t="shared" si="51"/>
        <v>4.5767177028047428</v>
      </c>
      <c r="AZ23" s="2">
        <f t="shared" si="52"/>
        <v>265.96512900634349</v>
      </c>
      <c r="BA23" s="2">
        <f t="shared" si="53"/>
        <v>278.55503578917728</v>
      </c>
      <c r="BB23" s="44">
        <f t="shared" si="54"/>
        <v>265.96512900634349</v>
      </c>
    </row>
    <row r="24" spans="1:54" x14ac:dyDescent="0.25">
      <c r="A24">
        <f t="shared" si="3"/>
        <v>24</v>
      </c>
      <c r="B24">
        <v>0.4</v>
      </c>
      <c r="C24" s="2">
        <f t="shared" si="55"/>
        <v>305.85989835729498</v>
      </c>
      <c r="D24" s="2">
        <f t="shared" si="4"/>
        <v>10.451307309007747</v>
      </c>
      <c r="E24" s="2">
        <f t="shared" si="5"/>
        <v>606.60266504048559</v>
      </c>
      <c r="F24" s="25">
        <f t="shared" si="6"/>
        <v>4.5536003161140144</v>
      </c>
      <c r="G24">
        <f t="shared" si="7"/>
        <v>8.1701728445202388E-5</v>
      </c>
      <c r="H24">
        <f t="shared" si="8"/>
        <v>1.4244261665449323E-4</v>
      </c>
      <c r="I24" s="3">
        <f t="shared" si="9"/>
        <v>9.9796439084149971E-5</v>
      </c>
      <c r="J24" s="28">
        <f t="shared" si="10"/>
        <v>0.32719698033549799</v>
      </c>
      <c r="K24" s="24">
        <f t="shared" si="11"/>
        <v>5.2130423217044344</v>
      </c>
      <c r="L24" s="24">
        <f t="shared" si="12"/>
        <v>7.9880093612405982</v>
      </c>
      <c r="M24" s="39">
        <f t="shared" si="13"/>
        <v>286.18631873656409</v>
      </c>
      <c r="N24" s="40">
        <f t="shared" si="14"/>
        <v>145.14988698615613</v>
      </c>
      <c r="O24" s="32">
        <f t="shared" si="15"/>
        <v>606.10166217377321</v>
      </c>
      <c r="P24" s="32">
        <f t="shared" si="16"/>
        <v>10.127658871151306</v>
      </c>
      <c r="Q24" s="33">
        <f t="shared" si="17"/>
        <v>5.3751917930610373</v>
      </c>
      <c r="R24" s="33">
        <f t="shared" si="18"/>
        <v>8.117763190555852</v>
      </c>
      <c r="S24" s="39">
        <f t="shared" si="19"/>
        <v>291.07541152368424</v>
      </c>
      <c r="T24" s="36">
        <f t="shared" si="20"/>
        <v>591.87077703956891</v>
      </c>
      <c r="U24" s="36">
        <f t="shared" si="21"/>
        <v>8.0613389747555058</v>
      </c>
      <c r="V24" s="37">
        <f t="shared" si="22"/>
        <v>6.5944300963325233</v>
      </c>
      <c r="W24" s="40">
        <f t="shared" si="23"/>
        <v>334.63173340980262</v>
      </c>
      <c r="X24" s="32">
        <f t="shared" si="24"/>
        <v>606.24205891565191</v>
      </c>
      <c r="Y24" s="32">
        <f t="shared" si="25"/>
        <v>10.20727936733182</v>
      </c>
      <c r="Z24" s="33">
        <f t="shared" si="26"/>
        <v>5.3344987310537748</v>
      </c>
      <c r="AA24" s="33">
        <f t="shared" si="27"/>
        <v>8.0857343587589945</v>
      </c>
      <c r="AB24" s="39">
        <f t="shared" si="28"/>
        <v>289.85982359910929</v>
      </c>
      <c r="AC24" s="36">
        <f t="shared" si="29"/>
        <v>607.13272113854669</v>
      </c>
      <c r="AD24" s="36">
        <f t="shared" si="30"/>
        <v>10.940241668538572</v>
      </c>
      <c r="AE24" s="37">
        <f t="shared" si="31"/>
        <v>4.9844159673185571</v>
      </c>
      <c r="AF24" s="40">
        <f t="shared" si="32"/>
        <v>283.61479734134946</v>
      </c>
      <c r="AG24" s="32">
        <f t="shared" si="33"/>
        <v>606.20825566918847</v>
      </c>
      <c r="AH24" s="32">
        <f t="shared" si="34"/>
        <v>10.187433101916611</v>
      </c>
      <c r="AI24" s="33">
        <f t="shared" si="35"/>
        <v>5.344592910557183</v>
      </c>
      <c r="AJ24" s="33">
        <f t="shared" si="36"/>
        <v>8.0937124902630018</v>
      </c>
      <c r="AK24" s="39">
        <f t="shared" si="37"/>
        <v>290.16200508875232</v>
      </c>
      <c r="AL24" s="36">
        <f t="shared" si="38"/>
        <v>606.02286968174712</v>
      </c>
      <c r="AM24" s="36">
        <f t="shared" si="39"/>
        <v>10.085995666526969</v>
      </c>
      <c r="AN24" s="37">
        <f t="shared" si="40"/>
        <v>5.3966939663339657</v>
      </c>
      <c r="AO24" s="40">
        <f t="shared" si="41"/>
        <v>295.65162353631547</v>
      </c>
      <c r="AP24" s="32">
        <f t="shared" si="42"/>
        <v>606.21672513660303</v>
      </c>
      <c r="AQ24" s="32">
        <f t="shared" si="43"/>
        <v>10.192363568979349</v>
      </c>
      <c r="AR24" s="33">
        <f t="shared" si="44"/>
        <v>5.3420821446571995</v>
      </c>
      <c r="AS24" s="33">
        <f t="shared" si="45"/>
        <v>8.0917301056212061</v>
      </c>
      <c r="AT24" s="39">
        <f t="shared" si="46"/>
        <v>290.08688314154881</v>
      </c>
      <c r="AU24" s="36">
        <f t="shared" si="47"/>
        <v>606.36319138016302</v>
      </c>
      <c r="AV24" s="36">
        <f t="shared" si="48"/>
        <v>10.282289627122802</v>
      </c>
      <c r="AW24" s="37">
        <f t="shared" si="49"/>
        <v>5.2966411701375682</v>
      </c>
      <c r="AX24" s="40">
        <f t="shared" si="50"/>
        <v>292.73377428708255</v>
      </c>
      <c r="AY24" s="24">
        <f t="shared" si="51"/>
        <v>5.4585683474314752</v>
      </c>
      <c r="AZ24" s="2">
        <f t="shared" si="52"/>
        <v>290.29603083827368</v>
      </c>
      <c r="BA24" s="2">
        <f t="shared" si="53"/>
        <v>301.65798214363753</v>
      </c>
      <c r="BB24" s="44">
        <f t="shared" si="54"/>
        <v>301.65798214363753</v>
      </c>
    </row>
    <row r="25" spans="1:54" x14ac:dyDescent="0.25">
      <c r="A25">
        <f t="shared" si="3"/>
        <v>30</v>
      </c>
      <c r="B25">
        <v>0.5</v>
      </c>
      <c r="C25" s="2">
        <f t="shared" si="55"/>
        <v>346.90667946518312</v>
      </c>
      <c r="D25" s="2">
        <f t="shared" si="4"/>
        <v>11.154479128032763</v>
      </c>
      <c r="E25" s="2">
        <f t="shared" si="5"/>
        <v>607.3379250210462</v>
      </c>
      <c r="F25" s="25">
        <f t="shared" si="6"/>
        <v>5.33964435034913</v>
      </c>
      <c r="G25">
        <f t="shared" si="7"/>
        <v>7.5448834061100987E-5</v>
      </c>
      <c r="H25">
        <f t="shared" si="8"/>
        <v>1.3154102797717447E-4</v>
      </c>
      <c r="I25" s="3">
        <f t="shared" si="9"/>
        <v>9.4345644745490591E-5</v>
      </c>
      <c r="J25" s="28">
        <f t="shared" si="10"/>
        <v>0.30700561439076318</v>
      </c>
      <c r="K25" s="24">
        <f t="shared" si="11"/>
        <v>5.7790371373602758</v>
      </c>
      <c r="L25" s="24">
        <f t="shared" si="12"/>
        <v>8.4167542955885253</v>
      </c>
      <c r="M25" s="39">
        <f t="shared" si="13"/>
        <v>298.92282936869202</v>
      </c>
      <c r="N25" s="40">
        <f t="shared" si="14"/>
        <v>151.49662267743048</v>
      </c>
      <c r="O25" s="32">
        <f t="shared" si="15"/>
        <v>606.44424730217145</v>
      </c>
      <c r="P25" s="32">
        <f t="shared" si="16"/>
        <v>10.336196593079739</v>
      </c>
      <c r="Q25" s="33">
        <f t="shared" si="17"/>
        <v>6.2273675450650536</v>
      </c>
      <c r="R25" s="33">
        <f t="shared" si="18"/>
        <v>8.7103223148732116</v>
      </c>
      <c r="S25" s="39">
        <f t="shared" si="19"/>
        <v>309.80482795836429</v>
      </c>
      <c r="T25" s="36">
        <f t="shared" si="20"/>
        <v>593.13807843756842</v>
      </c>
      <c r="U25" s="36">
        <f t="shared" si="21"/>
        <v>8.1447505735382464</v>
      </c>
      <c r="V25" s="37">
        <f t="shared" si="22"/>
        <v>7.7295177021125818</v>
      </c>
      <c r="W25" s="40">
        <f t="shared" si="23"/>
        <v>358.80294393520967</v>
      </c>
      <c r="X25" s="32">
        <f t="shared" si="24"/>
        <v>606.68562452237188</v>
      </c>
      <c r="Y25" s="32">
        <f t="shared" si="25"/>
        <v>10.517248562525829</v>
      </c>
      <c r="Z25" s="33">
        <f t="shared" si="26"/>
        <v>6.1226008229230366</v>
      </c>
      <c r="AA25" s="33">
        <f t="shared" si="27"/>
        <v>8.6451927591184656</v>
      </c>
      <c r="AB25" s="39">
        <f t="shared" si="28"/>
        <v>307.36599124714922</v>
      </c>
      <c r="AC25" s="36">
        <f t="shared" si="29"/>
        <v>607.55088349944742</v>
      </c>
      <c r="AD25" s="36">
        <f t="shared" si="30"/>
        <v>11.365327898301381</v>
      </c>
      <c r="AE25" s="37">
        <f t="shared" si="31"/>
        <v>5.6738136263113388</v>
      </c>
      <c r="AF25" s="40">
        <f t="shared" si="32"/>
        <v>300.11692068097562</v>
      </c>
      <c r="AG25" s="32">
        <f t="shared" si="33"/>
        <v>606.63489417077176</v>
      </c>
      <c r="AH25" s="32">
        <f t="shared" si="34"/>
        <v>10.476441182890843</v>
      </c>
      <c r="AI25" s="33">
        <f t="shared" si="35"/>
        <v>6.1459353532917671</v>
      </c>
      <c r="AJ25" s="33">
        <f t="shared" si="36"/>
        <v>8.6598785822928281</v>
      </c>
      <c r="AK25" s="39">
        <f t="shared" si="37"/>
        <v>307.91386958664867</v>
      </c>
      <c r="AL25" s="36">
        <f t="shared" si="38"/>
        <v>606.47276841181724</v>
      </c>
      <c r="AM25" s="36">
        <f t="shared" si="39"/>
        <v>10.355934021172327</v>
      </c>
      <c r="AN25" s="37">
        <f t="shared" si="40"/>
        <v>6.2157910884080723</v>
      </c>
      <c r="AO25" s="40">
        <f t="shared" si="41"/>
        <v>314.68243723260395</v>
      </c>
      <c r="AP25" s="32">
        <f t="shared" si="42"/>
        <v>606.6464440518464</v>
      </c>
      <c r="AQ25" s="32">
        <f t="shared" si="43"/>
        <v>10.485596851479716</v>
      </c>
      <c r="AR25" s="33">
        <f t="shared" si="44"/>
        <v>6.1406858422773514</v>
      </c>
      <c r="AS25" s="33">
        <f t="shared" si="45"/>
        <v>8.6565837668213828</v>
      </c>
      <c r="AT25" s="39">
        <f t="shared" si="46"/>
        <v>307.7908577891024</v>
      </c>
      <c r="AU25" s="36">
        <f t="shared" si="47"/>
        <v>606.78221154398398</v>
      </c>
      <c r="AV25" s="36">
        <f t="shared" si="48"/>
        <v>10.599261940213871</v>
      </c>
      <c r="AW25" s="37">
        <f t="shared" si="49"/>
        <v>6.0761934842737535</v>
      </c>
      <c r="AX25" s="40">
        <f t="shared" si="50"/>
        <v>310.9700491983254</v>
      </c>
      <c r="AY25" s="24">
        <f t="shared" si="51"/>
        <v>6.2914881830828691</v>
      </c>
      <c r="AZ25" s="2">
        <f t="shared" si="52"/>
        <v>308.21888664531616</v>
      </c>
      <c r="BA25" s="2">
        <f t="shared" si="53"/>
        <v>321.14308776177865</v>
      </c>
      <c r="BB25" s="44">
        <f t="shared" si="54"/>
        <v>321.14308776177865</v>
      </c>
    </row>
    <row r="26" spans="1:54" x14ac:dyDescent="0.25">
      <c r="A26">
        <f t="shared" si="3"/>
        <v>36</v>
      </c>
      <c r="B26">
        <v>0.6</v>
      </c>
      <c r="C26" s="2">
        <f t="shared" si="55"/>
        <v>369.3145509260454</v>
      </c>
      <c r="D26" s="2">
        <f t="shared" si="4"/>
        <v>11.554273150381681</v>
      </c>
      <c r="E26" s="2">
        <f t="shared" si="5"/>
        <v>607.76456206128114</v>
      </c>
      <c r="F26" s="25">
        <f t="shared" si="6"/>
        <v>6.1902076053428656</v>
      </c>
      <c r="G26">
        <f t="shared" si="7"/>
        <v>7.007386810711521E-5</v>
      </c>
      <c r="H26">
        <f t="shared" si="8"/>
        <v>1.2217006080812549E-4</v>
      </c>
      <c r="I26" s="3">
        <f t="shared" si="9"/>
        <v>8.9660161160966102E-5</v>
      </c>
      <c r="J26" s="28">
        <f>IF(0.6*F26^-0.4&gt;1,1,0.6*F26^-0.4)</f>
        <v>0.28938043462666896</v>
      </c>
      <c r="K26" s="24">
        <f t="shared" si="11"/>
        <v>6.3668706485207851</v>
      </c>
      <c r="L26" s="24">
        <f t="shared" si="12"/>
        <v>8.7938647311580862</v>
      </c>
      <c r="M26" s="39">
        <f t="shared" si="13"/>
        <v>309.55258306111949</v>
      </c>
      <c r="N26" s="40">
        <f t="shared" si="14"/>
        <v>157.60806542171562</v>
      </c>
      <c r="O26" s="32">
        <f t="shared" si="15"/>
        <v>606.68045770779577</v>
      </c>
      <c r="P26" s="32">
        <f t="shared" si="16"/>
        <v>10.513021744474081</v>
      </c>
      <c r="Q26" s="33">
        <f t="shared" si="17"/>
        <v>6.9849890031702353</v>
      </c>
      <c r="R26" s="33">
        <f t="shared" si="18"/>
        <v>9.122436064004825</v>
      </c>
      <c r="S26" s="39">
        <f t="shared" si="19"/>
        <v>321.69243439666258</v>
      </c>
      <c r="T26" s="36">
        <f t="shared" si="20"/>
        <v>594.28582099740061</v>
      </c>
      <c r="U26" s="36">
        <f t="shared" si="21"/>
        <v>8.2259225880441775</v>
      </c>
      <c r="V26" s="37">
        <f t="shared" si="22"/>
        <v>8.7446822634898442</v>
      </c>
      <c r="W26" s="40">
        <f t="shared" si="23"/>
        <v>377.79607565953796</v>
      </c>
      <c r="X26" s="32">
        <f t="shared" si="24"/>
        <v>606.91168845421328</v>
      </c>
      <c r="Y26" s="32">
        <f t="shared" si="25"/>
        <v>10.718063156073399</v>
      </c>
      <c r="Z26" s="33">
        <f t="shared" si="26"/>
        <v>6.8539743288132691</v>
      </c>
      <c r="AA26" s="33">
        <f t="shared" si="27"/>
        <v>9.05825037321023</v>
      </c>
      <c r="AB26" s="39">
        <f t="shared" si="28"/>
        <v>319.30729721839799</v>
      </c>
      <c r="AC26" s="36">
        <f t="shared" si="29"/>
        <v>607.96292705911753</v>
      </c>
      <c r="AD26" s="36">
        <f t="shared" si="30"/>
        <v>11.708532060554633</v>
      </c>
      <c r="AE26" s="37">
        <f t="shared" si="31"/>
        <v>6.28503834182027</v>
      </c>
      <c r="AF26" s="40">
        <f t="shared" si="32"/>
        <v>313.08168491939045</v>
      </c>
      <c r="AG26" s="32">
        <f t="shared" si="33"/>
        <v>606.86869078123857</v>
      </c>
      <c r="AH26" s="32">
        <f t="shared" si="34"/>
        <v>10.677517739322155</v>
      </c>
      <c r="AI26" s="33">
        <f t="shared" si="35"/>
        <v>6.8795132940982793</v>
      </c>
      <c r="AJ26" s="33">
        <f t="shared" si="36"/>
        <v>9.0709853029727743</v>
      </c>
      <c r="AK26" s="39">
        <f t="shared" si="37"/>
        <v>319.77886434424971</v>
      </c>
      <c r="AL26" s="36">
        <f t="shared" si="38"/>
        <v>606.75117814513715</v>
      </c>
      <c r="AM26" s="36">
        <f t="shared" si="39"/>
        <v>10.572287729946417</v>
      </c>
      <c r="AN26" s="37">
        <f t="shared" si="40"/>
        <v>6.9466423199074185</v>
      </c>
      <c r="AO26" s="40">
        <f t="shared" si="41"/>
        <v>329.80530306621853</v>
      </c>
      <c r="AP26" s="32">
        <f t="shared" si="42"/>
        <v>606.87727044966505</v>
      </c>
      <c r="AQ26" s="32">
        <f t="shared" si="43"/>
        <v>10.685523895171071</v>
      </c>
      <c r="AR26" s="33">
        <f t="shared" si="44"/>
        <v>6.874455988287659</v>
      </c>
      <c r="AS26" s="33">
        <f t="shared" si="45"/>
        <v>9.0684721306768346</v>
      </c>
      <c r="AT26" s="39">
        <f t="shared" si="46"/>
        <v>319.68574805205662</v>
      </c>
      <c r="AU26" s="36">
        <f t="shared" si="47"/>
        <v>607.05198657482106</v>
      </c>
      <c r="AV26" s="36">
        <f t="shared" si="48"/>
        <v>10.85692930093299</v>
      </c>
      <c r="AW26" s="37">
        <f t="shared" si="49"/>
        <v>6.7678723463136867</v>
      </c>
      <c r="AX26" s="40">
        <f t="shared" si="50"/>
        <v>325.37260812919112</v>
      </c>
      <c r="AY26" s="24">
        <f t="shared" si="51"/>
        <v>7.0421459857375819</v>
      </c>
      <c r="AZ26" s="2">
        <f t="shared" si="52"/>
        <v>320.11608600284171</v>
      </c>
      <c r="BA26" s="2">
        <f t="shared" si="53"/>
        <v>336.51391794358454</v>
      </c>
      <c r="BB26" s="44">
        <f t="shared" si="54"/>
        <v>336.51391794358454</v>
      </c>
    </row>
    <row r="27" spans="1:54" x14ac:dyDescent="0.25">
      <c r="A27">
        <f t="shared" si="3"/>
        <v>42</v>
      </c>
      <c r="B27">
        <v>0.7</v>
      </c>
      <c r="C27" s="2">
        <f t="shared" si="55"/>
        <v>386.99100563512218</v>
      </c>
      <c r="D27" s="2">
        <f t="shared" si="4"/>
        <v>11.877586505892712</v>
      </c>
      <c r="E27" s="2">
        <f t="shared" si="5"/>
        <v>608.21199766100369</v>
      </c>
      <c r="F27" s="25">
        <f t="shared" si="6"/>
        <v>7.0304972357832565</v>
      </c>
      <c r="G27">
        <f t="shared" si="7"/>
        <v>6.575301594372371E-5</v>
      </c>
      <c r="H27">
        <f t="shared" si="8"/>
        <v>1.1463688494950807E-4</v>
      </c>
      <c r="I27" s="3">
        <f t="shared" si="9"/>
        <v>8.5893573231657399E-5</v>
      </c>
      <c r="J27" s="28">
        <f t="shared" si="10"/>
        <v>0.27501528602485475</v>
      </c>
      <c r="K27" s="24">
        <f t="shared" si="11"/>
        <v>6.927364008966908</v>
      </c>
      <c r="L27" s="24">
        <f t="shared" si="12"/>
        <v>9.0945540337920381</v>
      </c>
      <c r="M27" s="39">
        <f t="shared" si="13"/>
        <v>317.35325979369196</v>
      </c>
      <c r="N27" s="40">
        <f t="shared" si="14"/>
        <v>162.96950035888975</v>
      </c>
      <c r="O27" s="32">
        <f t="shared" si="15"/>
        <v>606.83269127355481</v>
      </c>
      <c r="P27" s="32">
        <f t="shared" si="16"/>
        <v>10.6443956359929</v>
      </c>
      <c r="Q27" s="33">
        <f t="shared" si="17"/>
        <v>7.712393660834719</v>
      </c>
      <c r="R27" s="33">
        <f t="shared" si="18"/>
        <v>9.429830907061401</v>
      </c>
      <c r="S27" s="39">
        <f t="shared" si="19"/>
        <v>329.80062553323336</v>
      </c>
      <c r="T27" s="36">
        <f t="shared" si="20"/>
        <v>595.23595087176284</v>
      </c>
      <c r="U27" s="36">
        <f t="shared" si="21"/>
        <v>8.297821943653231</v>
      </c>
      <c r="V27" s="37">
        <f t="shared" si="22"/>
        <v>9.7043459544577999</v>
      </c>
      <c r="W27" s="40">
        <f t="shared" si="23"/>
        <v>394.18608525608158</v>
      </c>
      <c r="X27" s="32">
        <f t="shared" si="24"/>
        <v>607.05190765633006</v>
      </c>
      <c r="Y27" s="32">
        <f t="shared" si="25"/>
        <v>10.856848811880006</v>
      </c>
      <c r="Z27" s="33">
        <f t="shared" si="26"/>
        <v>7.5642045830194187</v>
      </c>
      <c r="AA27" s="33">
        <f t="shared" si="27"/>
        <v>9.3736176627203598</v>
      </c>
      <c r="AB27" s="39">
        <f t="shared" si="28"/>
        <v>327.71622682969286</v>
      </c>
      <c r="AC27" s="36">
        <f t="shared" si="29"/>
        <v>608.43659600552337</v>
      </c>
      <c r="AD27" s="36">
        <f t="shared" si="30"/>
        <v>12.011193259081288</v>
      </c>
      <c r="AE27" s="37">
        <f t="shared" si="31"/>
        <v>6.8528369910445912</v>
      </c>
      <c r="AF27" s="40">
        <f t="shared" si="32"/>
        <v>324.06130818237244</v>
      </c>
      <c r="AG27" s="32">
        <f t="shared" si="33"/>
        <v>607.01655856785942</v>
      </c>
      <c r="AH27" s="32">
        <f t="shared" si="34"/>
        <v>10.821030111135482</v>
      </c>
      <c r="AI27" s="33">
        <f t="shared" si="35"/>
        <v>7.588800935571185</v>
      </c>
      <c r="AJ27" s="33">
        <f t="shared" si="36"/>
        <v>9.3831652632664007</v>
      </c>
      <c r="AK27" s="39">
        <f t="shared" si="37"/>
        <v>328.06912948003185</v>
      </c>
      <c r="AL27" s="36">
        <f t="shared" si="38"/>
        <v>606.95349487408214</v>
      </c>
      <c r="AM27" s="36">
        <f t="shared" si="39"/>
        <v>10.758458238712649</v>
      </c>
      <c r="AN27" s="37">
        <f t="shared" si="40"/>
        <v>7.6321448857159471</v>
      </c>
      <c r="AO27" s="40">
        <f t="shared" si="41"/>
        <v>342.8271393168103</v>
      </c>
      <c r="AP27" s="32">
        <f t="shared" si="42"/>
        <v>607.02257068723361</v>
      </c>
      <c r="AQ27" s="32">
        <f t="shared" si="43"/>
        <v>10.827087613133116</v>
      </c>
      <c r="AR27" s="33">
        <f t="shared" si="44"/>
        <v>7.5846302994190102</v>
      </c>
      <c r="AS27" s="33">
        <f t="shared" si="45"/>
        <v>9.3815524898634877</v>
      </c>
      <c r="AT27" s="39">
        <f t="shared" si="46"/>
        <v>328.00949240548249</v>
      </c>
      <c r="AU27" s="36">
        <f t="shared" si="47"/>
        <v>607.26900180919279</v>
      </c>
      <c r="AV27" s="36">
        <f t="shared" si="48"/>
        <v>11.082903519555131</v>
      </c>
      <c r="AW27" s="37">
        <f t="shared" si="49"/>
        <v>7.412569676189305</v>
      </c>
      <c r="AX27" s="40">
        <f t="shared" si="50"/>
        <v>337.68408229977643</v>
      </c>
      <c r="AY27" s="24">
        <f t="shared" si="51"/>
        <v>7.7564908732814972</v>
      </c>
      <c r="AZ27" s="2">
        <f t="shared" si="52"/>
        <v>328.39886856211018</v>
      </c>
      <c r="BA27" s="2">
        <f t="shared" si="53"/>
        <v>349.68965376376013</v>
      </c>
      <c r="BB27" s="44">
        <f t="shared" si="54"/>
        <v>349.68965376376013</v>
      </c>
    </row>
    <row r="28" spans="1:54" x14ac:dyDescent="0.25">
      <c r="A28">
        <f t="shared" si="3"/>
        <v>48</v>
      </c>
      <c r="B28">
        <v>0.8</v>
      </c>
      <c r="C28" s="2">
        <f t="shared" si="55"/>
        <v>402.14310182832412</v>
      </c>
      <c r="D28" s="2">
        <f t="shared" si="4"/>
        <v>12.160298892652929</v>
      </c>
      <c r="E28" s="2">
        <f t="shared" si="5"/>
        <v>608.72036188796233</v>
      </c>
      <c r="F28" s="25">
        <f t="shared" si="6"/>
        <v>7.8546129199478729</v>
      </c>
      <c r="G28">
        <f t="shared" si="7"/>
        <v>6.2208009443876939E-5</v>
      </c>
      <c r="H28">
        <f t="shared" si="8"/>
        <v>1.0845635472689427E-4</v>
      </c>
      <c r="I28" s="3">
        <f t="shared" si="9"/>
        <v>8.2803308120350496E-5</v>
      </c>
      <c r="J28" s="28">
        <f>IF(0.6*F28^-0.4&gt;1,1,0.6*F28^-0.4)</f>
        <v>0.26308817924620104</v>
      </c>
      <c r="K28" s="24">
        <f t="shared" si="11"/>
        <v>7.4609438660252385</v>
      </c>
      <c r="L28" s="24">
        <f t="shared" si="12"/>
        <v>9.3325733323952171</v>
      </c>
      <c r="M28" s="39">
        <f t="shared" si="13"/>
        <v>322.89223764807349</v>
      </c>
      <c r="N28" s="40">
        <f t="shared" si="14"/>
        <v>167.69258261331555</v>
      </c>
      <c r="O28" s="32">
        <f t="shared" si="15"/>
        <v>606.93296611006065</v>
      </c>
      <c r="P28" s="32">
        <f t="shared" si="16"/>
        <v>10.738507021597938</v>
      </c>
      <c r="Q28" s="33">
        <f t="shared" si="17"/>
        <v>8.4239739416509956</v>
      </c>
      <c r="R28" s="33">
        <f t="shared" si="18"/>
        <v>9.6587077209930268</v>
      </c>
      <c r="S28" s="39">
        <f t="shared" si="19"/>
        <v>335.16010653312526</v>
      </c>
      <c r="T28" s="36">
        <f t="shared" si="20"/>
        <v>596.0303230780994</v>
      </c>
      <c r="U28" s="36">
        <f t="shared" si="21"/>
        <v>8.3616941466142247</v>
      </c>
      <c r="V28" s="37">
        <f t="shared" si="22"/>
        <v>10.624151867550101</v>
      </c>
      <c r="W28" s="40">
        <f t="shared" si="23"/>
        <v>408.73664139126606</v>
      </c>
      <c r="X28" s="32">
        <f t="shared" si="24"/>
        <v>607.1415010134757</v>
      </c>
      <c r="Y28" s="32">
        <f t="shared" si="25"/>
        <v>10.949393972681804</v>
      </c>
      <c r="Z28" s="33">
        <f t="shared" si="26"/>
        <v>8.2645655852461495</v>
      </c>
      <c r="AA28" s="33">
        <f t="shared" si="27"/>
        <v>9.6130158347877259</v>
      </c>
      <c r="AB28" s="39">
        <f t="shared" si="28"/>
        <v>333.46001126392235</v>
      </c>
      <c r="AC28" s="36">
        <f t="shared" si="29"/>
        <v>608.98722663751028</v>
      </c>
      <c r="AD28" s="36">
        <f t="shared" si="30"/>
        <v>12.284929009039333</v>
      </c>
      <c r="AE28" s="37">
        <f t="shared" si="31"/>
        <v>7.3884906031394433</v>
      </c>
      <c r="AF28" s="40">
        <f t="shared" si="32"/>
        <v>333.60647487358295</v>
      </c>
      <c r="AG28" s="32">
        <f t="shared" si="33"/>
        <v>607.11322209248442</v>
      </c>
      <c r="AH28" s="32">
        <f t="shared" si="34"/>
        <v>10.919967796667633</v>
      </c>
      <c r="AI28" s="33">
        <f t="shared" si="35"/>
        <v>8.2864502379545915</v>
      </c>
      <c r="AJ28" s="33">
        <f t="shared" si="36"/>
        <v>9.6194704532487485</v>
      </c>
      <c r="AK28" s="39">
        <f t="shared" si="37"/>
        <v>333.69945433518916</v>
      </c>
      <c r="AL28" s="36">
        <f t="shared" si="38"/>
        <v>607.11566201283574</v>
      </c>
      <c r="AM28" s="36">
        <f t="shared" si="39"/>
        <v>10.922500320127465</v>
      </c>
      <c r="AN28" s="37">
        <f t="shared" si="40"/>
        <v>8.2845622115170556</v>
      </c>
      <c r="AO28" s="40">
        <f t="shared" si="41"/>
        <v>354.34649154258204</v>
      </c>
      <c r="AP28" s="32">
        <f t="shared" si="42"/>
        <v>607.11721053083784</v>
      </c>
      <c r="AQ28" s="32">
        <f t="shared" si="43"/>
        <v>10.924108290795912</v>
      </c>
      <c r="AR28" s="33">
        <f t="shared" si="44"/>
        <v>8.2833638956138511</v>
      </c>
      <c r="AS28" s="33">
        <f t="shared" si="45"/>
        <v>9.6185637194471507</v>
      </c>
      <c r="AT28" s="39">
        <f t="shared" si="46"/>
        <v>333.66580771537707</v>
      </c>
      <c r="AU28" s="36">
        <f t="shared" si="47"/>
        <v>607.46836545510769</v>
      </c>
      <c r="AV28" s="36">
        <f t="shared" si="48"/>
        <v>11.285970630915774</v>
      </c>
      <c r="AW28" s="37">
        <f t="shared" si="49"/>
        <v>8.0224116639681728</v>
      </c>
      <c r="AX28" s="40">
        <f t="shared" si="50"/>
        <v>348.49262947938473</v>
      </c>
      <c r="AY28" s="24">
        <f t="shared" si="51"/>
        <v>8.4472462508300445</v>
      </c>
      <c r="AZ28" s="2">
        <f t="shared" si="52"/>
        <v>333.99634496190345</v>
      </c>
      <c r="BA28" s="2">
        <f t="shared" si="53"/>
        <v>361.29555932170399</v>
      </c>
      <c r="BB28" s="44">
        <f t="shared" si="54"/>
        <v>361.29555932170399</v>
      </c>
    </row>
    <row r="29" spans="1:54" x14ac:dyDescent="0.25">
      <c r="A29">
        <f t="shared" si="3"/>
        <v>54</v>
      </c>
      <c r="B29">
        <v>0.9</v>
      </c>
      <c r="C29" s="2">
        <f t="shared" si="55"/>
        <v>415.48989321995958</v>
      </c>
      <c r="D29" s="2">
        <f t="shared" si="4"/>
        <v>12.413587486740859</v>
      </c>
      <c r="E29" s="2">
        <f t="shared" si="5"/>
        <v>609.29364309544837</v>
      </c>
      <c r="F29" s="25">
        <f t="shared" si="6"/>
        <v>8.6642917602704586</v>
      </c>
      <c r="G29">
        <f t="shared" si="7"/>
        <v>5.9230058901329405E-5</v>
      </c>
      <c r="H29">
        <f t="shared" si="8"/>
        <v>1.0326445639597165E-4</v>
      </c>
      <c r="I29" s="3">
        <f t="shared" si="9"/>
        <v>8.0207358954889182E-5</v>
      </c>
      <c r="J29" s="28">
        <f t="shared" si="10"/>
        <v>0.25296359410626879</v>
      </c>
      <c r="K29" s="24">
        <f t="shared" si="11"/>
        <v>7.9720237067323945</v>
      </c>
      <c r="L29" s="24">
        <f t="shared" si="12"/>
        <v>9.5209609033011926</v>
      </c>
      <c r="M29" s="39">
        <f t="shared" si="13"/>
        <v>326.6768181556352</v>
      </c>
      <c r="N29" s="40">
        <f t="shared" si="14"/>
        <v>171.90266096704684</v>
      </c>
      <c r="O29" s="32">
        <f t="shared" si="15"/>
        <v>606.99877865194685</v>
      </c>
      <c r="P29" s="32">
        <f t="shared" si="16"/>
        <v>10.803205081715586</v>
      </c>
      <c r="Q29" s="33">
        <f t="shared" si="17"/>
        <v>9.1258734168627598</v>
      </c>
      <c r="R29" s="33">
        <f t="shared" si="18"/>
        <v>9.8260665931743532</v>
      </c>
      <c r="S29" s="39">
        <f t="shared" si="19"/>
        <v>338.42003655443926</v>
      </c>
      <c r="T29" s="36">
        <f t="shared" si="20"/>
        <v>596.70567028476057</v>
      </c>
      <c r="U29" s="36">
        <f t="shared" si="21"/>
        <v>8.419050008988977</v>
      </c>
      <c r="V29" s="37">
        <f t="shared" si="22"/>
        <v>11.511616669053053</v>
      </c>
      <c r="W29" s="40">
        <f t="shared" si="23"/>
        <v>421.85475262405777</v>
      </c>
      <c r="X29" s="32">
        <f t="shared" si="24"/>
        <v>607.19559707076155</v>
      </c>
      <c r="Y29" s="32">
        <f t="shared" si="25"/>
        <v>11.005999715749484</v>
      </c>
      <c r="Z29" s="33">
        <f t="shared" si="26"/>
        <v>8.9606261900309239</v>
      </c>
      <c r="AA29" s="33">
        <f t="shared" si="27"/>
        <v>9.7913025996964898</v>
      </c>
      <c r="AB29" s="39">
        <f t="shared" si="28"/>
        <v>337.11341966044955</v>
      </c>
      <c r="AC29" s="36">
        <f t="shared" si="29"/>
        <v>609.61590164304289</v>
      </c>
      <c r="AD29" s="36">
        <f t="shared" si="30"/>
        <v>12.535781712657105</v>
      </c>
      <c r="AE29" s="37">
        <f t="shared" si="31"/>
        <v>7.8984906726322599</v>
      </c>
      <c r="AF29" s="40">
        <f t="shared" si="32"/>
        <v>342.03513398921677</v>
      </c>
      <c r="AG29" s="32">
        <f t="shared" si="33"/>
        <v>607.17391913253141</v>
      </c>
      <c r="AH29" s="32">
        <f t="shared" si="34"/>
        <v>10.983282907475434</v>
      </c>
      <c r="AI29" s="33">
        <f t="shared" si="35"/>
        <v>8.9788389503011548</v>
      </c>
      <c r="AJ29" s="33">
        <f t="shared" si="36"/>
        <v>9.7952663175450443</v>
      </c>
      <c r="AK29" s="39">
        <f t="shared" si="37"/>
        <v>337.26193084614789</v>
      </c>
      <c r="AL29" s="36">
        <f t="shared" si="38"/>
        <v>607.25575343480023</v>
      </c>
      <c r="AM29" s="36">
        <f t="shared" si="39"/>
        <v>11.069050984063949</v>
      </c>
      <c r="AN29" s="37">
        <f t="shared" si="40"/>
        <v>8.9104675760514809</v>
      </c>
      <c r="AO29" s="40">
        <f t="shared" si="41"/>
        <v>364.69814997461845</v>
      </c>
      <c r="AP29" s="32">
        <f t="shared" si="42"/>
        <v>607.17638274203512</v>
      </c>
      <c r="AQ29" s="32">
        <f t="shared" si="43"/>
        <v>10.985862992887578</v>
      </c>
      <c r="AR29" s="33">
        <f t="shared" si="44"/>
        <v>8.9767666477251513</v>
      </c>
      <c r="AS29" s="33">
        <f t="shared" si="45"/>
        <v>9.7948169912825129</v>
      </c>
      <c r="AT29" s="39">
        <f t="shared" si="46"/>
        <v>337.24509166970114</v>
      </c>
      <c r="AU29" s="36">
        <f t="shared" si="47"/>
        <v>607.66694539969581</v>
      </c>
      <c r="AV29" s="36">
        <f t="shared" si="48"/>
        <v>11.470988927413739</v>
      </c>
      <c r="AW29" s="37">
        <f t="shared" si="49"/>
        <v>8.604071216029725</v>
      </c>
      <c r="AX29" s="40">
        <f t="shared" si="50"/>
        <v>358.13052256152071</v>
      </c>
      <c r="AY29" s="24">
        <f t="shared" si="51"/>
        <v>9.1208439173358133</v>
      </c>
      <c r="AZ29" s="2">
        <f t="shared" si="52"/>
        <v>337.51011968268449</v>
      </c>
      <c r="BA29" s="2">
        <f t="shared" si="53"/>
        <v>371.67963978735338</v>
      </c>
      <c r="BB29" s="44">
        <f t="shared" si="54"/>
        <v>371.67963978735338</v>
      </c>
    </row>
    <row r="30" spans="1:54" x14ac:dyDescent="0.25">
      <c r="A30">
        <f t="shared" si="3"/>
        <v>60</v>
      </c>
      <c r="B30">
        <v>1</v>
      </c>
      <c r="C30" s="2">
        <f t="shared" si="55"/>
        <v>427.43158575545635</v>
      </c>
      <c r="D30" s="2">
        <f t="shared" si="4"/>
        <v>12.64359308973453</v>
      </c>
      <c r="E30" s="2">
        <f t="shared" si="5"/>
        <v>609.92708264532143</v>
      </c>
      <c r="F30" s="25">
        <f t="shared" si="6"/>
        <v>9.4616881177302457</v>
      </c>
      <c r="G30">
        <f t="shared" si="7"/>
        <v>5.6679287788155473E-5</v>
      </c>
      <c r="H30">
        <f t="shared" si="8"/>
        <v>9.8817322672345697E-5</v>
      </c>
      <c r="I30" s="3">
        <f t="shared" si="9"/>
        <v>7.7983792093076204E-5</v>
      </c>
      <c r="J30" s="28">
        <f t="shared" si="10"/>
        <v>0.24421019983572628</v>
      </c>
      <c r="K30" s="24">
        <f t="shared" si="11"/>
        <v>8.4643629031391789</v>
      </c>
      <c r="L30" s="24">
        <f t="shared" si="12"/>
        <v>9.6698048872123916</v>
      </c>
      <c r="M30" s="39">
        <f t="shared" si="13"/>
        <v>329.0937375680308</v>
      </c>
      <c r="N30" s="40">
        <f t="shared" si="14"/>
        <v>175.69516814101985</v>
      </c>
      <c r="O30" s="32">
        <f t="shared" si="15"/>
        <v>607.03996139073024</v>
      </c>
      <c r="P30" s="32">
        <f t="shared" si="16"/>
        <v>10.844690609710817</v>
      </c>
      <c r="Q30" s="33">
        <f t="shared" si="17"/>
        <v>9.8217071976688359</v>
      </c>
      <c r="R30" s="33">
        <f t="shared" si="18"/>
        <v>9.9455361503264399</v>
      </c>
      <c r="S30" s="39">
        <f t="shared" si="19"/>
        <v>340.08755776554921</v>
      </c>
      <c r="T30" s="36">
        <f t="shared" si="20"/>
        <v>597.28827146735739</v>
      </c>
      <c r="U30" s="36">
        <f t="shared" si="21"/>
        <v>8.4710570227555486</v>
      </c>
      <c r="V30" s="37">
        <f t="shared" si="22"/>
        <v>12.37181022125043</v>
      </c>
      <c r="W30" s="40">
        <f t="shared" si="23"/>
        <v>433.8136686609227</v>
      </c>
      <c r="X30" s="32">
        <f t="shared" si="24"/>
        <v>607.22329602053571</v>
      </c>
      <c r="Y30" s="32">
        <f t="shared" si="25"/>
        <v>11.035046743063374</v>
      </c>
      <c r="Z30" s="33">
        <f t="shared" si="26"/>
        <v>9.6551964699728003</v>
      </c>
      <c r="AA30" s="33">
        <f t="shared" si="27"/>
        <v>9.9205843485870595</v>
      </c>
      <c r="AB30" s="39">
        <f t="shared" si="28"/>
        <v>339.13190841342737</v>
      </c>
      <c r="AC30" s="36">
        <f t="shared" si="29"/>
        <v>610.31861716303411</v>
      </c>
      <c r="AD30" s="36">
        <f t="shared" si="30"/>
        <v>12.767826376361208</v>
      </c>
      <c r="AE30" s="37">
        <f t="shared" si="31"/>
        <v>8.3873838180368132</v>
      </c>
      <c r="AF30" s="40">
        <f t="shared" si="32"/>
        <v>349.56443014581765</v>
      </c>
      <c r="AG30" s="32">
        <f t="shared" si="33"/>
        <v>607.20741495533093</v>
      </c>
      <c r="AH30" s="32">
        <f t="shared" si="34"/>
        <v>11.018392395226151</v>
      </c>
      <c r="AI30" s="33">
        <f t="shared" si="35"/>
        <v>9.6695374415940361</v>
      </c>
      <c r="AJ30" s="33">
        <f t="shared" si="36"/>
        <v>9.9228171528160019</v>
      </c>
      <c r="AK30" s="39">
        <f t="shared" si="37"/>
        <v>339.2171078335457</v>
      </c>
      <c r="AL30" s="36">
        <f t="shared" si="38"/>
        <v>607.38367248071381</v>
      </c>
      <c r="AM30" s="36">
        <f t="shared" si="39"/>
        <v>11.201309961251436</v>
      </c>
      <c r="AN30" s="37">
        <f t="shared" si="40"/>
        <v>9.5143947402996218</v>
      </c>
      <c r="AO30" s="40">
        <f t="shared" si="41"/>
        <v>374.108920219678</v>
      </c>
      <c r="AP30" s="32">
        <f t="shared" si="42"/>
        <v>607.20882995197803</v>
      </c>
      <c r="AQ30" s="32">
        <f t="shared" si="43"/>
        <v>11.01987635689132</v>
      </c>
      <c r="AR30" s="33">
        <f t="shared" si="44"/>
        <v>9.6682578498711518</v>
      </c>
      <c r="AS30" s="33">
        <f t="shared" si="45"/>
        <v>9.9226185832483047</v>
      </c>
      <c r="AT30" s="39">
        <f t="shared" si="46"/>
        <v>339.20952914892723</v>
      </c>
      <c r="AU30" s="36">
        <f t="shared" si="47"/>
        <v>607.87338150610185</v>
      </c>
      <c r="AV30" s="36">
        <f t="shared" si="48"/>
        <v>11.641273419462092</v>
      </c>
      <c r="AW30" s="37">
        <f t="shared" si="49"/>
        <v>9.1621944448818091</v>
      </c>
      <c r="AX30" s="40">
        <f t="shared" si="50"/>
        <v>366.82355868428516</v>
      </c>
      <c r="AY30" s="24">
        <f t="shared" si="51"/>
        <v>9.7813102729469392</v>
      </c>
      <c r="AZ30" s="2">
        <f t="shared" si="52"/>
        <v>339.41152579036236</v>
      </c>
      <c r="BA30" s="2">
        <f t="shared" si="53"/>
        <v>381.07764442767586</v>
      </c>
      <c r="BB30" s="44">
        <f t="shared" si="54"/>
        <v>381.07764442767586</v>
      </c>
    </row>
    <row r="31" spans="1:54" x14ac:dyDescent="0.25">
      <c r="A31">
        <f t="shared" si="3"/>
        <v>66</v>
      </c>
      <c r="B31">
        <v>1.1000000000000001</v>
      </c>
      <c r="C31" s="2">
        <f t="shared" si="55"/>
        <v>438.23929109182723</v>
      </c>
      <c r="D31" s="2">
        <f t="shared" si="4"/>
        <v>12.854511012596419</v>
      </c>
      <c r="E31" s="2">
        <f t="shared" si="5"/>
        <v>610.61366318871683</v>
      </c>
      <c r="F31" s="25">
        <f t="shared" si="6"/>
        <v>10.248607561497039</v>
      </c>
      <c r="G31">
        <f t="shared" si="7"/>
        <v>5.4459828190674143E-5</v>
      </c>
      <c r="H31">
        <f t="shared" si="8"/>
        <v>9.4947812949106386E-5</v>
      </c>
      <c r="I31" s="3">
        <f t="shared" si="9"/>
        <v>7.6049037231456541E-5</v>
      </c>
      <c r="J31" s="28">
        <f t="shared" si="10"/>
        <v>0.23652949523502834</v>
      </c>
      <c r="K31" s="24">
        <f t="shared" si="11"/>
        <v>8.9408720698840387</v>
      </c>
      <c r="L31" s="24">
        <f t="shared" si="12"/>
        <v>9.7869656737811468</v>
      </c>
      <c r="M31" s="39">
        <f t="shared" si="13"/>
        <v>330.44067997438128</v>
      </c>
      <c r="N31" s="40">
        <f t="shared" si="14"/>
        <v>179.14147923807118</v>
      </c>
      <c r="O31" s="32">
        <f t="shared" si="15"/>
        <v>607.06269148389219</v>
      </c>
      <c r="P31" s="32">
        <f t="shared" si="16"/>
        <v>10.867867158746058</v>
      </c>
      <c r="Q31" s="33">
        <f t="shared" si="17"/>
        <v>10.51376209025528</v>
      </c>
      <c r="R31" s="33">
        <f t="shared" si="18"/>
        <v>10.02906953403528</v>
      </c>
      <c r="S31" s="39">
        <f t="shared" si="19"/>
        <v>340.59562047036513</v>
      </c>
      <c r="T31" s="36">
        <f t="shared" si="20"/>
        <v>597.79700222753627</v>
      </c>
      <c r="U31" s="36">
        <f t="shared" si="21"/>
        <v>8.5185960254542277</v>
      </c>
      <c r="V31" s="37">
        <f t="shared" si="22"/>
        <v>13.208534446280012</v>
      </c>
      <c r="W31" s="40">
        <f t="shared" si="23"/>
        <v>444.81181348603326</v>
      </c>
      <c r="X31" s="32">
        <f t="shared" si="24"/>
        <v>607.23174937615715</v>
      </c>
      <c r="Y31" s="32">
        <f t="shared" si="25"/>
        <v>11.043909211875228</v>
      </c>
      <c r="Z31" s="33">
        <f t="shared" si="26"/>
        <v>10.349051938987923</v>
      </c>
      <c r="AA31" s="33">
        <f t="shared" si="27"/>
        <v>10.011819641110907</v>
      </c>
      <c r="AB31" s="39">
        <f t="shared" si="28"/>
        <v>339.91513833697201</v>
      </c>
      <c r="AC31" s="36">
        <f t="shared" si="29"/>
        <v>611.08955947988193</v>
      </c>
      <c r="AD31" s="36">
        <f t="shared" si="30"/>
        <v>12.984056561900264</v>
      </c>
      <c r="AE31" s="37">
        <f t="shared" si="31"/>
        <v>8.8585652555298324</v>
      </c>
      <c r="AF31" s="40">
        <f t="shared" si="32"/>
        <v>356.3522946711937</v>
      </c>
      <c r="AG31" s="32">
        <f t="shared" si="33"/>
        <v>607.22042902148348</v>
      </c>
      <c r="AH31" s="32">
        <f t="shared" si="34"/>
        <v>11.032040432700265</v>
      </c>
      <c r="AI31" s="33">
        <f t="shared" si="35"/>
        <v>10.35999278716892</v>
      </c>
      <c r="AJ31" s="33">
        <f t="shared" si="36"/>
        <v>10.013011653509524</v>
      </c>
      <c r="AK31" s="39">
        <f t="shared" si="37"/>
        <v>339.96194656944863</v>
      </c>
      <c r="AL31" s="36">
        <f t="shared" si="38"/>
        <v>607.50502008426338</v>
      </c>
      <c r="AM31" s="36">
        <f t="shared" si="39"/>
        <v>11.321633462346286</v>
      </c>
      <c r="AN31" s="37">
        <f t="shared" si="40"/>
        <v>10.099728613343421</v>
      </c>
      <c r="AO31" s="40">
        <f t="shared" si="41"/>
        <v>382.74339974601742</v>
      </c>
      <c r="AP31" s="32">
        <f t="shared" si="42"/>
        <v>607.22120726802507</v>
      </c>
      <c r="AQ31" s="32">
        <f t="shared" si="43"/>
        <v>11.032856516603218</v>
      </c>
      <c r="AR31" s="33">
        <f t="shared" si="44"/>
        <v>10.359239750935034</v>
      </c>
      <c r="AS31" s="33">
        <f t="shared" si="45"/>
        <v>10.012929826613409</v>
      </c>
      <c r="AT31" s="39">
        <f t="shared" si="46"/>
        <v>339.95873267174483</v>
      </c>
      <c r="AU31" s="36">
        <f t="shared" si="47"/>
        <v>608.09205814294421</v>
      </c>
      <c r="AV31" s="36">
        <f t="shared" si="48"/>
        <v>11.799256298056257</v>
      </c>
      <c r="AW31" s="37">
        <f t="shared" si="49"/>
        <v>9.7002654781109126</v>
      </c>
      <c r="AX31" s="40">
        <f t="shared" si="50"/>
        <v>374.73581977590055</v>
      </c>
      <c r="AY31" s="24">
        <f t="shared" si="51"/>
        <v>10.431142545076417</v>
      </c>
      <c r="AZ31" s="2">
        <f t="shared" si="52"/>
        <v>340.10785951213268</v>
      </c>
      <c r="BA31" s="2">
        <f t="shared" si="53"/>
        <v>389.66083191978623</v>
      </c>
      <c r="BB31" s="44">
        <f t="shared" si="54"/>
        <v>389.66083191978623</v>
      </c>
    </row>
    <row r="32" spans="1:54" x14ac:dyDescent="0.25">
      <c r="A32">
        <f t="shared" si="3"/>
        <v>72</v>
      </c>
      <c r="B32">
        <v>1.2</v>
      </c>
      <c r="C32" s="2">
        <f t="shared" si="55"/>
        <v>448.10995670775412</v>
      </c>
      <c r="D32" s="2">
        <f t="shared" si="4"/>
        <v>13.049428147837149</v>
      </c>
      <c r="E32" s="2">
        <f t="shared" si="5"/>
        <v>611.3461522166682</v>
      </c>
      <c r="F32" s="25">
        <f t="shared" si="6"/>
        <v>11.026512390660038</v>
      </c>
      <c r="G32">
        <f t="shared" si="7"/>
        <v>5.2503664213307601E-5</v>
      </c>
      <c r="H32">
        <f t="shared" si="8"/>
        <v>9.1537345131057266E-5</v>
      </c>
      <c r="I32" s="3">
        <f t="shared" si="9"/>
        <v>7.4343803322431988E-5</v>
      </c>
      <c r="J32" s="28">
        <f t="shared" si="10"/>
        <v>0.22970792695392681</v>
      </c>
      <c r="K32" s="24">
        <f t="shared" si="11"/>
        <v>9.4038185800967238</v>
      </c>
      <c r="L32" s="24">
        <f t="shared" si="12"/>
        <v>9.8787343553196223</v>
      </c>
      <c r="M32" s="39">
        <f t="shared" si="13"/>
        <v>330.9525308887479</v>
      </c>
      <c r="N32" s="40">
        <f t="shared" si="14"/>
        <v>182.29606492841316</v>
      </c>
      <c r="O32" s="32">
        <f t="shared" si="15"/>
        <v>607.07129462966168</v>
      </c>
      <c r="P32" s="32">
        <f t="shared" si="16"/>
        <v>10.876685123586183</v>
      </c>
      <c r="Q32" s="33">
        <f t="shared" si="17"/>
        <v>11.203447440846301</v>
      </c>
      <c r="R32" s="33">
        <f t="shared" si="18"/>
        <v>10.087739999579803</v>
      </c>
      <c r="S32" s="39">
        <f t="shared" si="19"/>
        <v>340.33433460285409</v>
      </c>
      <c r="T32" s="36">
        <f t="shared" si="20"/>
        <v>598.24577163651952</v>
      </c>
      <c r="U32" s="36">
        <f t="shared" si="21"/>
        <v>8.5623441368269209</v>
      </c>
      <c r="V32" s="37">
        <f t="shared" si="22"/>
        <v>14.024761939089846</v>
      </c>
      <c r="W32" s="40">
        <f t="shared" si="23"/>
        <v>454.99902193640679</v>
      </c>
      <c r="X32" s="32">
        <f t="shared" si="24"/>
        <v>607.2274009669527</v>
      </c>
      <c r="Y32" s="32">
        <f t="shared" si="25"/>
        <v>11.039350710067183</v>
      </c>
      <c r="Z32" s="33">
        <f t="shared" si="26"/>
        <v>11.041202355899303</v>
      </c>
      <c r="AA32" s="33">
        <f t="shared" si="27"/>
        <v>10.075595056556356</v>
      </c>
      <c r="AB32" s="39">
        <f t="shared" si="28"/>
        <v>339.83720755057351</v>
      </c>
      <c r="AC32" s="36">
        <f t="shared" si="29"/>
        <v>611.92246543698991</v>
      </c>
      <c r="AD32" s="36">
        <f t="shared" si="30"/>
        <v>13.186760427002087</v>
      </c>
      <c r="AE32" s="37">
        <f t="shared" si="31"/>
        <v>9.3146560075401883</v>
      </c>
      <c r="AF32" s="40">
        <f t="shared" si="32"/>
        <v>362.51782403847545</v>
      </c>
      <c r="AG32" s="32">
        <f t="shared" si="33"/>
        <v>607.21913345609323</v>
      </c>
      <c r="AH32" s="32">
        <f t="shared" si="34"/>
        <v>11.030681847667275</v>
      </c>
      <c r="AI32" s="33">
        <f t="shared" si="35"/>
        <v>11.049729040115945</v>
      </c>
      <c r="AJ32" s="33">
        <f t="shared" si="36"/>
        <v>10.076255003396081</v>
      </c>
      <c r="AK32" s="39">
        <f t="shared" si="37"/>
        <v>339.86409404237799</v>
      </c>
      <c r="AL32" s="36">
        <f t="shared" si="38"/>
        <v>607.62299081775529</v>
      </c>
      <c r="AM32" s="36">
        <f t="shared" si="39"/>
        <v>11.431819766808449</v>
      </c>
      <c r="AN32" s="37">
        <f t="shared" si="40"/>
        <v>10.66908975311962</v>
      </c>
      <c r="AO32" s="40">
        <f t="shared" si="41"/>
        <v>390.72557416836264</v>
      </c>
      <c r="AP32" s="32">
        <f t="shared" si="42"/>
        <v>607.21958041372432</v>
      </c>
      <c r="AQ32" s="32">
        <f t="shared" si="43"/>
        <v>11.031150550591711</v>
      </c>
      <c r="AR32" s="33">
        <f t="shared" si="44"/>
        <v>11.049267680871468</v>
      </c>
      <c r="AS32" s="33">
        <f t="shared" si="45"/>
        <v>10.076219359756408</v>
      </c>
      <c r="AT32" s="39">
        <f t="shared" si="46"/>
        <v>339.86264164693932</v>
      </c>
      <c r="AU32" s="36">
        <f t="shared" si="47"/>
        <v>608.32503381663935</v>
      </c>
      <c r="AV32" s="36">
        <f t="shared" si="48"/>
        <v>11.946789650596324</v>
      </c>
      <c r="AW32" s="37">
        <f t="shared" si="49"/>
        <v>10.220991126547558</v>
      </c>
      <c r="AX32" s="40">
        <f t="shared" si="50"/>
        <v>381.99103318823842</v>
      </c>
      <c r="AY32" s="24">
        <f t="shared" si="51"/>
        <v>11.07164316800378</v>
      </c>
      <c r="AZ32" s="2">
        <f t="shared" si="52"/>
        <v>339.97456946068627</v>
      </c>
      <c r="BA32" s="2">
        <f t="shared" si="53"/>
        <v>397.55836333287084</v>
      </c>
      <c r="BB32" s="44">
        <f t="shared" si="54"/>
        <v>397.55836333287084</v>
      </c>
    </row>
    <row r="33" spans="1:54" x14ac:dyDescent="0.25">
      <c r="A33">
        <f t="shared" si="3"/>
        <v>78</v>
      </c>
      <c r="B33">
        <v>1.3</v>
      </c>
      <c r="C33" s="2">
        <f t="shared" si="55"/>
        <v>457.19211783280144</v>
      </c>
      <c r="D33" s="2">
        <f t="shared" si="4"/>
        <v>13.230702482332664</v>
      </c>
      <c r="E33" s="2">
        <f t="shared" si="5"/>
        <v>612.11780501620149</v>
      </c>
      <c r="F33" s="25">
        <f t="shared" si="6"/>
        <v>11.796595340781339</v>
      </c>
      <c r="G33">
        <f t="shared" si="7"/>
        <v>5.0761022025571624E-5</v>
      </c>
      <c r="H33">
        <f t="shared" si="8"/>
        <v>8.8499141192934834E-5</v>
      </c>
      <c r="I33" s="3">
        <f t="shared" si="9"/>
        <v>7.2824701353370772E-5</v>
      </c>
      <c r="J33" s="28">
        <f t="shared" si="10"/>
        <v>0.2235880444671263</v>
      </c>
      <c r="K33" s="24">
        <f t="shared" si="11"/>
        <v>9.8550014240373756</v>
      </c>
      <c r="L33" s="24">
        <f t="shared" si="12"/>
        <v>9.9502763872681435</v>
      </c>
      <c r="M33" s="39">
        <f t="shared" si="13"/>
        <v>330.81894519186017</v>
      </c>
      <c r="N33" s="40">
        <f t="shared" si="14"/>
        <v>185.20143505986363</v>
      </c>
      <c r="O33" s="32">
        <f t="shared" si="15"/>
        <v>607.06905101640211</v>
      </c>
      <c r="P33" s="32">
        <f t="shared" si="16"/>
        <v>10.874383196160043</v>
      </c>
      <c r="Q33" s="33">
        <f t="shared" si="17"/>
        <v>11.891538399484423</v>
      </c>
      <c r="R33" s="33">
        <f t="shared" si="18"/>
        <v>10.132166265841605</v>
      </c>
      <c r="S33" s="39">
        <f t="shared" si="19"/>
        <v>339.6678605187592</v>
      </c>
      <c r="T33" s="36">
        <f t="shared" si="20"/>
        <v>598.64508633974299</v>
      </c>
      <c r="U33" s="36">
        <f t="shared" si="21"/>
        <v>8.6028332936280698</v>
      </c>
      <c r="V33" s="37">
        <f t="shared" si="22"/>
        <v>14.822876756232471</v>
      </c>
      <c r="W33" s="40">
        <f t="shared" si="23"/>
        <v>464.4915700169492</v>
      </c>
      <c r="X33" s="32">
        <f t="shared" si="24"/>
        <v>607.21631868854683</v>
      </c>
      <c r="Y33" s="32">
        <f t="shared" si="25"/>
        <v>11.027730051551398</v>
      </c>
      <c r="Z33" s="33">
        <f t="shared" si="26"/>
        <v>11.729024428564021</v>
      </c>
      <c r="AA33" s="33">
        <f t="shared" si="27"/>
        <v>10.12239771932601</v>
      </c>
      <c r="AB33" s="39">
        <f t="shared" si="28"/>
        <v>339.25808260069573</v>
      </c>
      <c r="AC33" s="36">
        <f t="shared" si="29"/>
        <v>612.81121501873997</v>
      </c>
      <c r="AD33" s="36">
        <f t="shared" si="30"/>
        <v>13.377734306074718</v>
      </c>
      <c r="AE33" s="37">
        <f t="shared" si="31"/>
        <v>9.7577283001466419</v>
      </c>
      <c r="AF33" s="40">
        <f t="shared" si="32"/>
        <v>368.15327286587109</v>
      </c>
      <c r="AG33" s="32">
        <f t="shared" si="33"/>
        <v>607.20951051541931</v>
      </c>
      <c r="AH33" s="32">
        <f t="shared" si="34"/>
        <v>11.020590093169719</v>
      </c>
      <c r="AI33" s="33">
        <f t="shared" si="35"/>
        <v>11.736491771174144</v>
      </c>
      <c r="AJ33" s="33">
        <f t="shared" si="36"/>
        <v>10.122853136264009</v>
      </c>
      <c r="AK33" s="39">
        <f t="shared" si="37"/>
        <v>339.2771501768907</v>
      </c>
      <c r="AL33" s="36">
        <f t="shared" si="38"/>
        <v>607.73938538922607</v>
      </c>
      <c r="AM33" s="36">
        <f t="shared" si="39"/>
        <v>11.533277661547602</v>
      </c>
      <c r="AN33" s="37">
        <f t="shared" si="40"/>
        <v>11.224557197078655</v>
      </c>
      <c r="AO33" s="40">
        <f t="shared" si="41"/>
        <v>398.15138989559364</v>
      </c>
      <c r="AP33" s="32">
        <f t="shared" si="42"/>
        <v>607.20982722694691</v>
      </c>
      <c r="AQ33" s="32">
        <f t="shared" si="43"/>
        <v>11.020922242617175</v>
      </c>
      <c r="AR33" s="33">
        <f t="shared" si="44"/>
        <v>11.736144177230827</v>
      </c>
      <c r="AS33" s="33">
        <f t="shared" si="45"/>
        <v>10.122831953322105</v>
      </c>
      <c r="AT33" s="39">
        <f t="shared" si="46"/>
        <v>339.27626324874115</v>
      </c>
      <c r="AU33" s="36">
        <f t="shared" si="47"/>
        <v>608.57306073516418</v>
      </c>
      <c r="AV33" s="36">
        <f t="shared" si="48"/>
        <v>12.085321376663613</v>
      </c>
      <c r="AW33" s="37">
        <f t="shared" si="49"/>
        <v>10.726526320977513</v>
      </c>
      <c r="AX33" s="40">
        <f t="shared" si="50"/>
        <v>388.68505058061481</v>
      </c>
      <c r="AY33" s="24">
        <f t="shared" si="51"/>
        <v>11.703110918861086</v>
      </c>
      <c r="AZ33" s="2">
        <f t="shared" si="52"/>
        <v>339.36983913627171</v>
      </c>
      <c r="BA33" s="2">
        <f t="shared" si="53"/>
        <v>404.8703208397572</v>
      </c>
      <c r="BB33" s="44">
        <f t="shared" si="54"/>
        <v>404.8703208397572</v>
      </c>
    </row>
    <row r="34" spans="1:54" x14ac:dyDescent="0.25">
      <c r="A34">
        <f t="shared" si="3"/>
        <v>84</v>
      </c>
      <c r="B34">
        <v>1.4</v>
      </c>
      <c r="C34" s="2">
        <f t="shared" si="55"/>
        <v>465.60086896572074</v>
      </c>
      <c r="D34" s="2">
        <f t="shared" si="4"/>
        <v>13.400183228077683</v>
      </c>
      <c r="E34" s="2">
        <f t="shared" si="5"/>
        <v>612.92258350396219</v>
      </c>
      <c r="F34" s="25">
        <f t="shared" si="6"/>
        <v>12.559841057226768</v>
      </c>
      <c r="G34">
        <f t="shared" si="7"/>
        <v>4.9194508610877336E-5</v>
      </c>
      <c r="H34">
        <f t="shared" si="8"/>
        <v>8.5768008399788619E-5</v>
      </c>
      <c r="I34" s="3">
        <f t="shared" si="9"/>
        <v>7.1459134956797671E-5</v>
      </c>
      <c r="J34" s="28">
        <f t="shared" si="10"/>
        <v>0.21805075410872465</v>
      </c>
      <c r="K34" s="24">
        <f t="shared" si="11"/>
        <v>10.295873431853805</v>
      </c>
      <c r="L34" s="24">
        <f t="shared" si="12"/>
        <v>10.005928275402947</v>
      </c>
      <c r="M34" s="39">
        <f t="shared" si="13"/>
        <v>330.19612755831054</v>
      </c>
      <c r="N34" s="40">
        <f t="shared" si="14"/>
        <v>187.89142548798009</v>
      </c>
      <c r="O34" s="32">
        <f t="shared" si="15"/>
        <v>607.05857470806177</v>
      </c>
      <c r="P34" s="32">
        <f t="shared" si="16"/>
        <v>10.863656178353056</v>
      </c>
      <c r="Q34" s="33">
        <f t="shared" si="17"/>
        <v>12.578327378864207</v>
      </c>
      <c r="R34" s="33">
        <f t="shared" si="18"/>
        <v>10.172729912926897</v>
      </c>
      <c r="S34" s="39">
        <f t="shared" si="19"/>
        <v>338.94335963743623</v>
      </c>
      <c r="T34" s="36">
        <f t="shared" si="20"/>
        <v>599.00305477718575</v>
      </c>
      <c r="U34" s="36">
        <f t="shared" si="21"/>
        <v>8.6404895013373029</v>
      </c>
      <c r="V34" s="37">
        <f t="shared" si="22"/>
        <v>15.604828452292097</v>
      </c>
      <c r="W34" s="40">
        <f t="shared" si="23"/>
        <v>473.38167834923962</v>
      </c>
      <c r="X34" s="32">
        <f t="shared" si="24"/>
        <v>607.20428402085952</v>
      </c>
      <c r="Y34" s="32">
        <f t="shared" si="25"/>
        <v>11.015108923313523</v>
      </c>
      <c r="Z34" s="33">
        <f t="shared" si="26"/>
        <v>12.408358693305626</v>
      </c>
      <c r="AA34" s="33">
        <f t="shared" si="27"/>
        <v>10.162484817292334</v>
      </c>
      <c r="AB34" s="39">
        <f t="shared" si="28"/>
        <v>338.52075165018999</v>
      </c>
      <c r="AC34" s="36">
        <f t="shared" si="29"/>
        <v>613.75008208933434</v>
      </c>
      <c r="AD34" s="36">
        <f t="shared" si="30"/>
        <v>13.558418471433056</v>
      </c>
      <c r="AE34" s="37">
        <f t="shared" si="31"/>
        <v>10.189452230011101</v>
      </c>
      <c r="AF34" s="40">
        <f t="shared" si="32"/>
        <v>373.33167472581357</v>
      </c>
      <c r="AG34" s="32">
        <f t="shared" si="33"/>
        <v>607.19726859551156</v>
      </c>
      <c r="AH34" s="32">
        <f t="shared" si="34"/>
        <v>11.007752333340335</v>
      </c>
      <c r="AI34" s="33">
        <f t="shared" si="35"/>
        <v>12.416507864754646</v>
      </c>
      <c r="AJ34" s="33">
        <f t="shared" si="36"/>
        <v>10.162969274874769</v>
      </c>
      <c r="AK34" s="39">
        <f t="shared" si="37"/>
        <v>338.54080071354252</v>
      </c>
      <c r="AL34" s="36">
        <f t="shared" si="38"/>
        <v>607.85517917475011</v>
      </c>
      <c r="AM34" s="36">
        <f t="shared" si="39"/>
        <v>11.627134286567593</v>
      </c>
      <c r="AN34" s="37">
        <f t="shared" si="40"/>
        <v>11.767812538211267</v>
      </c>
      <c r="AO34" s="40">
        <f t="shared" si="41"/>
        <v>405.09672507631154</v>
      </c>
      <c r="AP34" s="32">
        <f t="shared" si="42"/>
        <v>607.19760135679167</v>
      </c>
      <c r="AQ34" s="32">
        <f t="shared" si="43"/>
        <v>11.008101248981973</v>
      </c>
      <c r="AR34" s="33">
        <f t="shared" si="44"/>
        <v>12.416121112272307</v>
      </c>
      <c r="AS34" s="33">
        <f t="shared" si="45"/>
        <v>10.162946270156507</v>
      </c>
      <c r="AT34" s="39">
        <f t="shared" si="46"/>
        <v>338.53984886913423</v>
      </c>
      <c r="AU34" s="36">
        <f t="shared" si="47"/>
        <v>608.83615034661557</v>
      </c>
      <c r="AV34" s="36">
        <f t="shared" si="48"/>
        <v>12.21600743492597</v>
      </c>
      <c r="AW34" s="37">
        <f t="shared" si="49"/>
        <v>11.218620349386498</v>
      </c>
      <c r="AX34" s="40">
        <f t="shared" si="50"/>
        <v>394.89376554776942</v>
      </c>
      <c r="AY34" s="24">
        <f t="shared" si="51"/>
        <v>12.325003577387218</v>
      </c>
      <c r="AZ34" s="2">
        <f t="shared" si="52"/>
        <v>338.63619021757575</v>
      </c>
      <c r="BA34" s="2">
        <f t="shared" si="53"/>
        <v>411.67596092478351</v>
      </c>
      <c r="BB34" s="44">
        <f t="shared" si="54"/>
        <v>411.67596092478351</v>
      </c>
    </row>
    <row r="35" spans="1:54" x14ac:dyDescent="0.25">
      <c r="A35">
        <f t="shared" si="3"/>
        <v>90</v>
      </c>
      <c r="B35">
        <v>1.5</v>
      </c>
      <c r="C35" s="2">
        <f t="shared" si="55"/>
        <v>473.42735506350101</v>
      </c>
      <c r="D35" s="2">
        <f t="shared" si="4"/>
        <v>13.559351384574711</v>
      </c>
      <c r="E35" s="2">
        <f t="shared" si="5"/>
        <v>613.75518482208565</v>
      </c>
      <c r="F35" s="25">
        <f t="shared" si="6"/>
        <v>13.317071719532274</v>
      </c>
      <c r="G35">
        <f t="shared" si="7"/>
        <v>4.7775399718329659E-5</v>
      </c>
      <c r="H35">
        <f t="shared" si="8"/>
        <v>8.3293867548438961E-5</v>
      </c>
      <c r="I35" s="3">
        <f t="shared" si="9"/>
        <v>7.0222064531122843E-5</v>
      </c>
      <c r="J35" s="28">
        <f t="shared" si="10"/>
        <v>0.21300399793667965</v>
      </c>
      <c r="K35" s="24">
        <f t="shared" si="11"/>
        <v>10.7276261254814</v>
      </c>
      <c r="L35" s="24">
        <f t="shared" si="12"/>
        <v>10.04940119825892</v>
      </c>
      <c r="M35" s="39">
        <f t="shared" si="13"/>
        <v>329.21494901036414</v>
      </c>
      <c r="N35" s="40">
        <f t="shared" si="14"/>
        <v>190.39342692785931</v>
      </c>
      <c r="O35" s="32">
        <f t="shared" si="15"/>
        <v>607.04201270319925</v>
      </c>
      <c r="P35" s="32">
        <f t="shared" si="16"/>
        <v>10.846774604983018</v>
      </c>
      <c r="Q35" s="33">
        <f t="shared" si="17"/>
        <v>13.263724856260669</v>
      </c>
      <c r="R35" s="33">
        <f t="shared" si="18"/>
        <v>10.219659416313061</v>
      </c>
      <c r="S35" s="39">
        <f t="shared" si="19"/>
        <v>338.49496267684992</v>
      </c>
      <c r="T35" s="36">
        <f t="shared" si="20"/>
        <v>599.32605040260512</v>
      </c>
      <c r="U35" s="36">
        <f t="shared" si="21"/>
        <v>8.6756596110257203</v>
      </c>
      <c r="V35" s="37">
        <f t="shared" si="22"/>
        <v>16.372236965026435</v>
      </c>
      <c r="W35" s="40">
        <f t="shared" si="23"/>
        <v>481.74383051620413</v>
      </c>
      <c r="X35" s="32">
        <f t="shared" si="24"/>
        <v>607.19684057475217</v>
      </c>
      <c r="Y35" s="32">
        <f t="shared" si="25"/>
        <v>11.00730353877181</v>
      </c>
      <c r="Z35" s="33">
        <f t="shared" si="26"/>
        <v>13.073622214072664</v>
      </c>
      <c r="AA35" s="33">
        <f t="shared" si="27"/>
        <v>10.205410895249063</v>
      </c>
      <c r="AB35" s="39">
        <f t="shared" si="28"/>
        <v>337.93683219927789</v>
      </c>
      <c r="AC35" s="36">
        <f t="shared" si="29"/>
        <v>614.73382481066756</v>
      </c>
      <c r="AD35" s="36">
        <f t="shared" si="30"/>
        <v>13.729988139961888</v>
      </c>
      <c r="AE35" s="37">
        <f t="shared" si="31"/>
        <v>10.611195569073878</v>
      </c>
      <c r="AF35" s="40">
        <f t="shared" si="32"/>
        <v>378.11190812293478</v>
      </c>
      <c r="AG35" s="32">
        <f t="shared" si="33"/>
        <v>607.1875790728277</v>
      </c>
      <c r="AH35" s="32">
        <f t="shared" si="34"/>
        <v>10.997594280833997</v>
      </c>
      <c r="AI35" s="33">
        <f t="shared" si="35"/>
        <v>13.0849647128088</v>
      </c>
      <c r="AJ35" s="33">
        <f t="shared" si="36"/>
        <v>10.206229089290655</v>
      </c>
      <c r="AK35" s="39">
        <f t="shared" si="37"/>
        <v>337.96908046694398</v>
      </c>
      <c r="AL35" s="36">
        <f t="shared" si="38"/>
        <v>607.97085310510113</v>
      </c>
      <c r="AM35" s="36">
        <f t="shared" si="39"/>
        <v>11.714307426488126</v>
      </c>
      <c r="AN35" s="37">
        <f t="shared" si="40"/>
        <v>12.300237937539094</v>
      </c>
      <c r="AO35" s="40">
        <f t="shared" si="41"/>
        <v>411.62268668667843</v>
      </c>
      <c r="AP35" s="32">
        <f t="shared" si="42"/>
        <v>607.1881141154812</v>
      </c>
      <c r="AQ35" s="32">
        <f t="shared" si="43"/>
        <v>10.998155082924114</v>
      </c>
      <c r="AR35" s="33">
        <f t="shared" si="44"/>
        <v>13.084309032771413</v>
      </c>
      <c r="AS35" s="33">
        <f t="shared" si="45"/>
        <v>10.206181687867705</v>
      </c>
      <c r="AT35" s="39">
        <f t="shared" si="46"/>
        <v>337.96721300561364</v>
      </c>
      <c r="AU35" s="36">
        <f t="shared" si="47"/>
        <v>609.11389765768706</v>
      </c>
      <c r="AV35" s="36">
        <f t="shared" si="48"/>
        <v>12.339787028648969</v>
      </c>
      <c r="AW35" s="37">
        <f t="shared" si="49"/>
        <v>11.698716455539719</v>
      </c>
      <c r="AX35" s="40">
        <f t="shared" si="50"/>
        <v>400.67837594691912</v>
      </c>
      <c r="AY35" s="24">
        <f t="shared" si="51"/>
        <v>12.936125967886584</v>
      </c>
      <c r="AZ35" s="2">
        <f t="shared" si="52"/>
        <v>338.09202208717136</v>
      </c>
      <c r="BA35" s="2">
        <f t="shared" si="53"/>
        <v>418.0392003181841</v>
      </c>
      <c r="BB35" s="44">
        <f t="shared" si="54"/>
        <v>418.0392003181841</v>
      </c>
    </row>
    <row r="36" spans="1:54" x14ac:dyDescent="0.25">
      <c r="A36">
        <f t="shared" si="3"/>
        <v>96</v>
      </c>
      <c r="B36">
        <v>1.6</v>
      </c>
      <c r="C36" s="2">
        <f t="shared" si="55"/>
        <v>480.74508036591169</v>
      </c>
      <c r="D36" s="2">
        <f t="shared" si="4"/>
        <v>13.709414010908755</v>
      </c>
      <c r="E36" s="2">
        <f t="shared" si="5"/>
        <v>614.61099527181</v>
      </c>
      <c r="F36" s="25">
        <f t="shared" si="6"/>
        <v>14.068980810802602</v>
      </c>
      <c r="G36">
        <f t="shared" si="7"/>
        <v>4.6481205173971086E-5</v>
      </c>
      <c r="H36">
        <f t="shared" si="8"/>
        <v>8.1037508217166705E-5</v>
      </c>
      <c r="I36" s="3">
        <f t="shared" si="9"/>
        <v>6.9093884865486707E-5</v>
      </c>
      <c r="J36" s="28">
        <f t="shared" si="10"/>
        <v>0.20837527954804691</v>
      </c>
      <c r="K36" s="24">
        <f t="shared" si="11"/>
        <v>11.151249843216876</v>
      </c>
      <c r="L36" s="24">
        <f t="shared" si="12"/>
        <v>10.083924648520199</v>
      </c>
      <c r="M36" s="39">
        <f t="shared" si="13"/>
        <v>327.98669390508212</v>
      </c>
      <c r="N36" s="40">
        <f t="shared" si="14"/>
        <v>192.72993727655714</v>
      </c>
      <c r="O36" s="32">
        <f t="shared" si="15"/>
        <v>607.02116736310313</v>
      </c>
      <c r="P36" s="32">
        <f t="shared" si="16"/>
        <v>10.825672373590312</v>
      </c>
      <c r="Q36" s="33">
        <f t="shared" si="17"/>
        <v>13.947329747726631</v>
      </c>
      <c r="R36" s="33">
        <f t="shared" si="18"/>
        <v>10.28302152604676</v>
      </c>
      <c r="S36" s="39">
        <f t="shared" si="19"/>
        <v>338.64437654044701</v>
      </c>
      <c r="T36" s="36">
        <f t="shared" si="20"/>
        <v>599.61916274765269</v>
      </c>
      <c r="U36" s="36">
        <f t="shared" si="21"/>
        <v>8.7086300657491993</v>
      </c>
      <c r="V36" s="37">
        <f t="shared" si="22"/>
        <v>17.126466676439531</v>
      </c>
      <c r="W36" s="40">
        <f t="shared" si="23"/>
        <v>489.63912288895801</v>
      </c>
      <c r="X36" s="32">
        <f t="shared" si="24"/>
        <v>607.19932052863032</v>
      </c>
      <c r="Y36" s="32">
        <f t="shared" si="25"/>
        <v>11.009903931766832</v>
      </c>
      <c r="Z36" s="33">
        <f t="shared" si="26"/>
        <v>13.717970359309726</v>
      </c>
      <c r="AA36" s="33">
        <f t="shared" si="27"/>
        <v>10.259293841320819</v>
      </c>
      <c r="AB36" s="39">
        <f t="shared" si="28"/>
        <v>337.76383791406948</v>
      </c>
      <c r="AC36" s="36">
        <f t="shared" si="29"/>
        <v>615.75769974104128</v>
      </c>
      <c r="AD36" s="36">
        <f t="shared" si="30"/>
        <v>13.893416658200412</v>
      </c>
      <c r="AE36" s="37">
        <f t="shared" si="31"/>
        <v>11.024093897666122</v>
      </c>
      <c r="AF36" s="40">
        <f t="shared" si="32"/>
        <v>382.54218019939589</v>
      </c>
      <c r="AG36" s="32">
        <f t="shared" si="33"/>
        <v>607.18470898201633</v>
      </c>
      <c r="AH36" s="32">
        <f t="shared" si="34"/>
        <v>10.994586282583512</v>
      </c>
      <c r="AI36" s="33">
        <f t="shared" si="35"/>
        <v>13.736751658168433</v>
      </c>
      <c r="AJ36" s="33">
        <f t="shared" si="36"/>
        <v>10.261133229104956</v>
      </c>
      <c r="AK36" s="39">
        <f t="shared" si="37"/>
        <v>337.83252510681166</v>
      </c>
      <c r="AL36" s="36">
        <f t="shared" si="38"/>
        <v>608.08659151026598</v>
      </c>
      <c r="AM36" s="36">
        <f t="shared" si="39"/>
        <v>11.795555629433188</v>
      </c>
      <c r="AN36" s="37">
        <f t="shared" si="40"/>
        <v>12.822985075326363</v>
      </c>
      <c r="AO36" s="40">
        <f t="shared" si="41"/>
        <v>417.77925318852903</v>
      </c>
      <c r="AP36" s="32">
        <f t="shared" si="42"/>
        <v>607.18584852594131</v>
      </c>
      <c r="AQ36" s="32">
        <f t="shared" si="43"/>
        <v>10.995780524773391</v>
      </c>
      <c r="AR36" s="33">
        <f t="shared" si="44"/>
        <v>13.735285499355474</v>
      </c>
      <c r="AS36" s="33">
        <f t="shared" si="45"/>
        <v>10.26098900113935</v>
      </c>
      <c r="AT36" s="39">
        <f t="shared" si="46"/>
        <v>337.82714259324069</v>
      </c>
      <c r="AU36" s="36">
        <f t="shared" si="47"/>
        <v>609.40567160465287</v>
      </c>
      <c r="AV36" s="36">
        <f t="shared" si="48"/>
        <v>12.457434715532724</v>
      </c>
      <c r="AW36" s="37">
        <f t="shared" si="49"/>
        <v>12.168021954617416</v>
      </c>
      <c r="AX36" s="40">
        <f t="shared" si="50"/>
        <v>406.08900273734235</v>
      </c>
      <c r="AY36" s="24">
        <f t="shared" si="51"/>
        <v>13.534863108576213</v>
      </c>
      <c r="AZ36" s="2">
        <f t="shared" si="52"/>
        <v>338.01697053864217</v>
      </c>
      <c r="BA36" s="2">
        <f t="shared" si="53"/>
        <v>424.01238975355636</v>
      </c>
      <c r="BB36" s="44">
        <f t="shared" si="54"/>
        <v>424.01238975355636</v>
      </c>
    </row>
    <row r="37" spans="1:54" x14ac:dyDescent="0.25">
      <c r="A37">
        <f t="shared" si="3"/>
        <v>102</v>
      </c>
      <c r="B37">
        <v>1.7</v>
      </c>
      <c r="C37" s="2">
        <f t="shared" si="55"/>
        <v>487.61424821658977</v>
      </c>
      <c r="D37" s="2">
        <f t="shared" si="4"/>
        <v>13.851369654201809</v>
      </c>
      <c r="E37" s="2">
        <f t="shared" si="5"/>
        <v>615.48601846936015</v>
      </c>
      <c r="F37" s="25">
        <f t="shared" si="6"/>
        <v>14.816158480728777</v>
      </c>
      <c r="G37">
        <f t="shared" si="7"/>
        <v>4.5294022475053967E-5</v>
      </c>
      <c r="H37">
        <f t="shared" si="8"/>
        <v>7.8967718344922843E-5</v>
      </c>
      <c r="I37" s="3">
        <f t="shared" si="9"/>
        <v>6.8058989929364777E-5</v>
      </c>
      <c r="J37" s="28">
        <f t="shared" si="10"/>
        <v>0.20410657939696758</v>
      </c>
      <c r="K37" s="24">
        <f t="shared" si="11"/>
        <v>11.567577322857877</v>
      </c>
      <c r="L37" s="24">
        <f t="shared" si="12"/>
        <v>10.112350274441273</v>
      </c>
      <c r="M37" s="39">
        <f t="shared" si="13"/>
        <v>326.60722896660218</v>
      </c>
      <c r="N37" s="40">
        <f t="shared" si="14"/>
        <v>194.91967010991411</v>
      </c>
      <c r="O37" s="32">
        <f t="shared" si="15"/>
        <v>606.99758422242212</v>
      </c>
      <c r="P37" s="32">
        <f t="shared" si="16"/>
        <v>10.80201254700035</v>
      </c>
      <c r="Q37" s="33">
        <f t="shared" si="17"/>
        <v>14.62848073605466</v>
      </c>
      <c r="R37" s="33">
        <f t="shared" si="18"/>
        <v>10.372644674058762</v>
      </c>
      <c r="S37" s="39">
        <f t="shared" si="19"/>
        <v>339.69911755304611</v>
      </c>
      <c r="T37" s="36">
        <f t="shared" si="20"/>
        <v>599.88651237246916</v>
      </c>
      <c r="U37" s="36">
        <f t="shared" si="21"/>
        <v>8.7396403517918433</v>
      </c>
      <c r="V37" s="37">
        <f t="shared" si="22"/>
        <v>17.868680158789914</v>
      </c>
      <c r="W37" s="40">
        <f t="shared" si="23"/>
        <v>497.11834455928624</v>
      </c>
      <c r="X37" s="32">
        <f t="shared" si="24"/>
        <v>607.2168381656229</v>
      </c>
      <c r="Y37" s="32">
        <f t="shared" si="25"/>
        <v>11.028274827593677</v>
      </c>
      <c r="Z37" s="33">
        <f t="shared" si="26"/>
        <v>14.333530162053544</v>
      </c>
      <c r="AA37" s="33">
        <f t="shared" si="27"/>
        <v>10.329948243331451</v>
      </c>
      <c r="AB37" s="39">
        <f t="shared" si="28"/>
        <v>338.1786762972369</v>
      </c>
      <c r="AC37" s="36">
        <f t="shared" si="29"/>
        <v>616.81744041484603</v>
      </c>
      <c r="AD37" s="36">
        <f t="shared" si="30"/>
        <v>14.049520606742682</v>
      </c>
      <c r="AE37" s="37">
        <f t="shared" si="31"/>
        <v>11.429101195864693</v>
      </c>
      <c r="AF37" s="40">
        <f t="shared" si="32"/>
        <v>386.66249040658221</v>
      </c>
      <c r="AG37" s="32">
        <f t="shared" si="33"/>
        <v>607.19159180263409</v>
      </c>
      <c r="AH37" s="32">
        <f t="shared" si="34"/>
        <v>11.001800552782962</v>
      </c>
      <c r="AI37" s="33">
        <f t="shared" si="35"/>
        <v>14.367424390476879</v>
      </c>
      <c r="AJ37" s="33">
        <f t="shared" si="36"/>
        <v>10.334533099705666</v>
      </c>
      <c r="AK37" s="39">
        <f t="shared" si="37"/>
        <v>338.34284125932538</v>
      </c>
      <c r="AL37" s="36">
        <f t="shared" si="38"/>
        <v>608.20240281390033</v>
      </c>
      <c r="AM37" s="36">
        <f t="shared" si="39"/>
        <v>11.871513928451744</v>
      </c>
      <c r="AN37" s="37">
        <f t="shared" si="40"/>
        <v>13.337024963734661</v>
      </c>
      <c r="AO37" s="40">
        <f t="shared" si="41"/>
        <v>423.6078504998622</v>
      </c>
      <c r="AP37" s="32">
        <f t="shared" si="42"/>
        <v>607.19431597819619</v>
      </c>
      <c r="AQ37" s="32">
        <f t="shared" si="43"/>
        <v>11.004656537358626</v>
      </c>
      <c r="AR37" s="33">
        <f t="shared" si="44"/>
        <v>14.363760126210455</v>
      </c>
      <c r="AS37" s="33">
        <f t="shared" si="45"/>
        <v>10.334033564850195</v>
      </c>
      <c r="AT37" s="39">
        <f t="shared" si="46"/>
        <v>338.32496905970567</v>
      </c>
      <c r="AU37" s="36">
        <f t="shared" si="47"/>
        <v>609.71072846898517</v>
      </c>
      <c r="AV37" s="36">
        <f t="shared" si="48"/>
        <v>12.56959753516592</v>
      </c>
      <c r="AW37" s="37">
        <f t="shared" si="49"/>
        <v>12.627558918509818</v>
      </c>
      <c r="AX37" s="40">
        <f t="shared" si="50"/>
        <v>411.16724922872305</v>
      </c>
      <c r="AY37" s="24">
        <f t="shared" si="51"/>
        <v>14.119445081461828</v>
      </c>
      <c r="AZ37" s="2">
        <f t="shared" si="52"/>
        <v>338.63640104232854</v>
      </c>
      <c r="BA37" s="2">
        <f t="shared" si="53"/>
        <v>429.63898367361344</v>
      </c>
      <c r="BB37" s="44">
        <f t="shared" si="54"/>
        <v>429.63898367361344</v>
      </c>
    </row>
    <row r="38" spans="1:54" x14ac:dyDescent="0.25">
      <c r="A38">
        <f t="shared" si="3"/>
        <v>108</v>
      </c>
      <c r="B38">
        <v>1.8</v>
      </c>
      <c r="C38" s="2">
        <f t="shared" si="55"/>
        <v>494.08483122465543</v>
      </c>
      <c r="D38" s="2">
        <f t="shared" si="4"/>
        <v>13.986055031624636</v>
      </c>
      <c r="E38" s="2">
        <f t="shared" si="5"/>
        <v>616.37679884800127</v>
      </c>
      <c r="F38" s="25">
        <f t="shared" si="6"/>
        <v>15.559110904712821</v>
      </c>
      <c r="G38">
        <f t="shared" si="7"/>
        <v>4.4199393538909097E-5</v>
      </c>
      <c r="H38">
        <f t="shared" si="8"/>
        <v>7.705929103380694E-5</v>
      </c>
      <c r="I38" s="3">
        <f t="shared" si="9"/>
        <v>6.7104776273806832E-5</v>
      </c>
      <c r="J38" s="28">
        <f t="shared" si="10"/>
        <v>0.20015080437453597</v>
      </c>
      <c r="K38" s="24">
        <f t="shared" si="11"/>
        <v>11.977315957131315</v>
      </c>
      <c r="L38" s="24">
        <f t="shared" si="12"/>
        <v>10.137228573002439</v>
      </c>
      <c r="M38" s="39">
        <f t="shared" si="13"/>
        <v>325.16009247169688</v>
      </c>
      <c r="N38" s="40">
        <f t="shared" si="14"/>
        <v>196.97836396018397</v>
      </c>
      <c r="O38" s="32">
        <f t="shared" si="15"/>
        <v>606.97262075372078</v>
      </c>
      <c r="P38" s="32">
        <f t="shared" si="16"/>
        <v>10.777237868317531</v>
      </c>
      <c r="Q38" s="33">
        <f t="shared" si="17"/>
        <v>15.30629534131004</v>
      </c>
      <c r="R38" s="33">
        <f t="shared" si="18"/>
        <v>10.497991069737928</v>
      </c>
      <c r="S38" s="39">
        <f t="shared" si="19"/>
        <v>341.9490330101894</v>
      </c>
      <c r="T38" s="36">
        <f t="shared" si="20"/>
        <v>600.13147590394783</v>
      </c>
      <c r="U38" s="36">
        <f t="shared" si="21"/>
        <v>8.7688928638154309</v>
      </c>
      <c r="V38" s="37">
        <f t="shared" si="22"/>
        <v>18.599878075362788</v>
      </c>
      <c r="W38" s="40">
        <f t="shared" si="23"/>
        <v>504.22421074610793</v>
      </c>
      <c r="X38" s="32">
        <f t="shared" si="24"/>
        <v>607.25431512343744</v>
      </c>
      <c r="Y38" s="32">
        <f t="shared" si="25"/>
        <v>11.067545885338021</v>
      </c>
      <c r="Z38" s="33">
        <f t="shared" si="26"/>
        <v>14.911719796632303</v>
      </c>
      <c r="AA38" s="33">
        <f t="shared" si="27"/>
        <v>10.420067777899511</v>
      </c>
      <c r="AB38" s="39">
        <f t="shared" si="28"/>
        <v>339.25340609565524</v>
      </c>
      <c r="AC38" s="36">
        <f t="shared" si="29"/>
        <v>617.90922073644003</v>
      </c>
      <c r="AD38" s="36">
        <f t="shared" si="30"/>
        <v>14.198992762195179</v>
      </c>
      <c r="AE38" s="37">
        <f t="shared" si="31"/>
        <v>11.82702716125296</v>
      </c>
      <c r="AF38" s="40">
        <f t="shared" si="32"/>
        <v>390.50641504018705</v>
      </c>
      <c r="AG38" s="32">
        <f t="shared" si="33"/>
        <v>607.20943284005136</v>
      </c>
      <c r="AH38" s="32">
        <f t="shared" si="34"/>
        <v>11.020508631591376</v>
      </c>
      <c r="AI38" s="33">
        <f t="shared" si="35"/>
        <v>14.974258515832341</v>
      </c>
      <c r="AJ38" s="33">
        <f t="shared" si="36"/>
        <v>10.431459734673538</v>
      </c>
      <c r="AK38" s="39">
        <f t="shared" si="37"/>
        <v>339.64940552187073</v>
      </c>
      <c r="AL38" s="36">
        <f t="shared" si="38"/>
        <v>608.3181941963104</v>
      </c>
      <c r="AM38" s="36">
        <f t="shared" si="39"/>
        <v>11.942719909795073</v>
      </c>
      <c r="AN38" s="37">
        <f t="shared" si="40"/>
        <v>13.843184748891654</v>
      </c>
      <c r="AO38" s="40">
        <f t="shared" si="41"/>
        <v>429.14321756083575</v>
      </c>
      <c r="AP38" s="32">
        <f t="shared" si="42"/>
        <v>607.21601198674125</v>
      </c>
      <c r="AQ38" s="32">
        <f t="shared" si="43"/>
        <v>11.027408411344005</v>
      </c>
      <c r="AR38" s="33">
        <f t="shared" si="44"/>
        <v>14.965051362287669</v>
      </c>
      <c r="AS38" s="33">
        <f t="shared" si="45"/>
        <v>10.429760789169006</v>
      </c>
      <c r="AT38" s="39">
        <f t="shared" si="46"/>
        <v>339.59040820066576</v>
      </c>
      <c r="AU38" s="36">
        <f t="shared" si="47"/>
        <v>610.02827987633782</v>
      </c>
      <c r="AV38" s="36">
        <f t="shared" si="48"/>
        <v>12.676822089646237</v>
      </c>
      <c r="AW38" s="37">
        <f t="shared" si="49"/>
        <v>13.078201646821716</v>
      </c>
      <c r="AX38" s="40">
        <f t="shared" si="50"/>
        <v>415.94805472249931</v>
      </c>
      <c r="AY38" s="24">
        <f t="shared" si="51"/>
        <v>14.688202081048932</v>
      </c>
      <c r="AZ38" s="2">
        <f t="shared" si="52"/>
        <v>340.11056320709531</v>
      </c>
      <c r="BA38" s="2">
        <f t="shared" si="53"/>
        <v>434.95547451740748</v>
      </c>
      <c r="BB38" s="44">
        <f t="shared" si="54"/>
        <v>434.95547451740748</v>
      </c>
    </row>
    <row r="39" spans="1:54" x14ac:dyDescent="0.25">
      <c r="A39">
        <f t="shared" si="3"/>
        <v>114</v>
      </c>
      <c r="B39">
        <v>1.9</v>
      </c>
      <c r="C39" s="2">
        <f t="shared" si="55"/>
        <v>500.19879569501859</v>
      </c>
      <c r="D39" s="2">
        <f t="shared" si="4"/>
        <v>14.11417912813025</v>
      </c>
      <c r="E39" s="2">
        <f t="shared" si="5"/>
        <v>617.28034935589778</v>
      </c>
      <c r="F39" s="25">
        <f t="shared" si="6"/>
        <v>16.298275282323612</v>
      </c>
      <c r="G39">
        <f t="shared" si="7"/>
        <v>4.3185492243573607E-5</v>
      </c>
      <c r="H39">
        <f t="shared" si="8"/>
        <v>7.5291608069378196E-5</v>
      </c>
      <c r="I39" s="3">
        <f t="shared" si="9"/>
        <v>6.6220934791592453E-5</v>
      </c>
      <c r="J39" s="28">
        <f t="shared" si="10"/>
        <v>0.19646925160642623</v>
      </c>
      <c r="K39" s="24">
        <f t="shared" si="11"/>
        <v>12.381072108388395</v>
      </c>
      <c r="L39" s="24">
        <f t="shared" si="12"/>
        <v>10.160866606002624</v>
      </c>
      <c r="M39" s="39">
        <f t="shared" si="13"/>
        <v>323.71882638080666</v>
      </c>
      <c r="N39" s="40">
        <f t="shared" si="14"/>
        <v>198.91938476911963</v>
      </c>
      <c r="O39" s="32">
        <f t="shared" si="15"/>
        <v>606.94750078615198</v>
      </c>
      <c r="P39" s="32">
        <f t="shared" si="16"/>
        <v>10.752610314857231</v>
      </c>
      <c r="Q39" s="33">
        <f t="shared" si="17"/>
        <v>15.979700923241118</v>
      </c>
      <c r="R39" s="33">
        <f t="shared" si="18"/>
        <v>10.667990137483681</v>
      </c>
      <c r="S39" s="39">
        <f t="shared" si="19"/>
        <v>345.66160099057021</v>
      </c>
      <c r="T39" s="36">
        <f t="shared" si="20"/>
        <v>600.35685011666226</v>
      </c>
      <c r="U39" s="36">
        <f t="shared" si="21"/>
        <v>8.7965602807663164</v>
      </c>
      <c r="V39" s="37">
        <f t="shared" si="22"/>
        <v>19.320929388280881</v>
      </c>
      <c r="W39" s="40">
        <f t="shared" si="23"/>
        <v>510.99301617958713</v>
      </c>
      <c r="X39" s="32">
        <f t="shared" si="24"/>
        <v>607.31674658712086</v>
      </c>
      <c r="Y39" s="32">
        <f t="shared" si="25"/>
        <v>11.132594676600279</v>
      </c>
      <c r="Z39" s="33">
        <f t="shared" si="26"/>
        <v>15.443661915668706</v>
      </c>
      <c r="AA39" s="33">
        <f t="shared" si="27"/>
        <v>10.52867305605853</v>
      </c>
      <c r="AB39" s="39">
        <f t="shared" si="28"/>
        <v>340.9400669666839</v>
      </c>
      <c r="AC39" s="36">
        <f t="shared" si="29"/>
        <v>619.02961339301692</v>
      </c>
      <c r="AD39" s="36">
        <f t="shared" si="30"/>
        <v>14.342426679827838</v>
      </c>
      <c r="AE39" s="37">
        <f t="shared" si="31"/>
        <v>12.218565272774553</v>
      </c>
      <c r="AF39" s="40">
        <f t="shared" si="32"/>
        <v>394.10242702451478</v>
      </c>
      <c r="AG39" s="32">
        <f t="shared" si="33"/>
        <v>607.237485403032</v>
      </c>
      <c r="AH39" s="32">
        <f t="shared" si="34"/>
        <v>11.049920905361201</v>
      </c>
      <c r="AI39" s="33">
        <f t="shared" si="35"/>
        <v>15.557178327059534</v>
      </c>
      <c r="AJ39" s="33">
        <f t="shared" si="36"/>
        <v>10.555509931654594</v>
      </c>
      <c r="AK39" s="39">
        <f t="shared" si="37"/>
        <v>341.85371562408557</v>
      </c>
      <c r="AL39" s="36">
        <f t="shared" si="38"/>
        <v>608.4338181498149</v>
      </c>
      <c r="AM39" s="36">
        <f t="shared" si="39"/>
        <v>12.009633130830801</v>
      </c>
      <c r="AN39" s="37">
        <f t="shared" si="40"/>
        <v>14.342175432378976</v>
      </c>
      <c r="AO39" s="40">
        <f t="shared" si="41"/>
        <v>434.41478563569723</v>
      </c>
      <c r="AP39" s="32">
        <f t="shared" si="42"/>
        <v>607.25272327075891</v>
      </c>
      <c r="AQ39" s="32">
        <f t="shared" si="43"/>
        <v>11.065879871751644</v>
      </c>
      <c r="AR39" s="33">
        <f t="shared" si="44"/>
        <v>15.535131934690265</v>
      </c>
      <c r="AS39" s="33">
        <f t="shared" si="45"/>
        <v>10.550190482394157</v>
      </c>
      <c r="AT39" s="39">
        <f t="shared" si="46"/>
        <v>341.67286458849821</v>
      </c>
      <c r="AU39" s="36">
        <f t="shared" si="47"/>
        <v>610.35753342229577</v>
      </c>
      <c r="AV39" s="36">
        <f t="shared" si="48"/>
        <v>12.779574701906327</v>
      </c>
      <c r="AW39" s="37">
        <f t="shared" si="49"/>
        <v>13.520704912118241</v>
      </c>
      <c r="AX39" s="40">
        <f t="shared" si="50"/>
        <v>420.46106521565025</v>
      </c>
      <c r="AY39" s="24">
        <f t="shared" si="51"/>
        <v>15.239756013276537</v>
      </c>
      <c r="AZ39" s="2">
        <f t="shared" si="52"/>
        <v>342.53206204245947</v>
      </c>
      <c r="BA39" s="2">
        <f t="shared" si="53"/>
        <v>439.99282351386233</v>
      </c>
      <c r="BB39" s="44">
        <f t="shared" si="54"/>
        <v>439.99282351386233</v>
      </c>
    </row>
    <row r="40" spans="1:54" x14ac:dyDescent="0.25">
      <c r="A40">
        <f t="shared" si="3"/>
        <v>120</v>
      </c>
      <c r="B40">
        <v>2</v>
      </c>
      <c r="C40" s="2">
        <f t="shared" si="55"/>
        <v>505.99174704094162</v>
      </c>
      <c r="D40" s="2">
        <f t="shared" si="4"/>
        <v>14.236348614365744</v>
      </c>
      <c r="E40" s="2">
        <f t="shared" si="5"/>
        <v>618.19408662390583</v>
      </c>
      <c r="F40" s="25">
        <f t="shared" si="6"/>
        <v>17.034031613940286</v>
      </c>
      <c r="G40">
        <f t="shared" si="7"/>
        <v>4.224253515558107E-5</v>
      </c>
      <c r="H40">
        <f t="shared" si="8"/>
        <v>7.3647612555909406E-5</v>
      </c>
      <c r="I40" s="3">
        <f t="shared" si="9"/>
        <v>6.5398937034858058E-5</v>
      </c>
      <c r="J40" s="28">
        <f t="shared" si="10"/>
        <v>0.19302976004780339</v>
      </c>
      <c r="K40" s="24">
        <f t="shared" si="11"/>
        <v>12.779369737784286</v>
      </c>
      <c r="L40" s="24">
        <f t="shared" si="12"/>
        <v>10.185372161803162</v>
      </c>
      <c r="M40" s="39">
        <f t="shared" si="13"/>
        <v>322.34876626124333</v>
      </c>
      <c r="N40" s="40">
        <f t="shared" si="14"/>
        <v>200.75418216951377</v>
      </c>
      <c r="O40" s="32">
        <f t="shared" si="15"/>
        <v>606.92335533521509</v>
      </c>
      <c r="P40" s="32">
        <f t="shared" si="16"/>
        <v>10.729242628319042</v>
      </c>
      <c r="Q40" s="33">
        <f t="shared" si="17"/>
        <v>16.647460267236958</v>
      </c>
      <c r="R40" s="33">
        <f t="shared" si="18"/>
        <v>10.890844043694578</v>
      </c>
      <c r="S40" s="39">
        <f t="shared" si="19"/>
        <v>351.07640735451673</v>
      </c>
      <c r="T40" s="36">
        <f t="shared" si="20"/>
        <v>600.5649737264464</v>
      </c>
      <c r="U40" s="36">
        <f t="shared" si="21"/>
        <v>8.8227911754803898</v>
      </c>
      <c r="V40" s="37">
        <f t="shared" si="22"/>
        <v>20.032594622724172</v>
      </c>
      <c r="W40" s="40">
        <f t="shared" si="23"/>
        <v>517.45588150107687</v>
      </c>
      <c r="X40" s="32">
        <f t="shared" si="24"/>
        <v>607.41008442259226</v>
      </c>
      <c r="Y40" s="32">
        <f t="shared" si="25"/>
        <v>11.228022330792047</v>
      </c>
      <c r="Z40" s="33">
        <f t="shared" si="26"/>
        <v>15.920691741454636</v>
      </c>
      <c r="AA40" s="33">
        <f t="shared" si="27"/>
        <v>10.651034926623122</v>
      </c>
      <c r="AB40" s="39">
        <f t="shared" si="28"/>
        <v>343.07080964254874</v>
      </c>
      <c r="AC40" s="36">
        <f t="shared" si="29"/>
        <v>620.17554833398799</v>
      </c>
      <c r="AD40" s="36">
        <f t="shared" si="30"/>
        <v>14.480335356501209</v>
      </c>
      <c r="AE40" s="37">
        <f t="shared" si="31"/>
        <v>12.60431425576725</v>
      </c>
      <c r="AF40" s="40">
        <f t="shared" si="32"/>
        <v>397.47488997215714</v>
      </c>
      <c r="AG40" s="32">
        <f t="shared" si="33"/>
        <v>607.27308484397065</v>
      </c>
      <c r="AH40" s="32">
        <f t="shared" si="34"/>
        <v>11.087168251492322</v>
      </c>
      <c r="AI40" s="33">
        <f t="shared" si="35"/>
        <v>16.119315592597921</v>
      </c>
      <c r="AJ40" s="33">
        <f t="shared" si="36"/>
        <v>10.709799213277016</v>
      </c>
      <c r="AK40" s="39">
        <f t="shared" si="37"/>
        <v>345.04143578578362</v>
      </c>
      <c r="AL40" s="36">
        <f t="shared" si="38"/>
        <v>608.54910154919185</v>
      </c>
      <c r="AM40" s="36">
        <f t="shared" si="39"/>
        <v>12.072649846900422</v>
      </c>
      <c r="AN40" s="37">
        <f t="shared" si="40"/>
        <v>14.83461310962636</v>
      </c>
      <c r="AO40" s="40">
        <f t="shared" si="41"/>
        <v>439.44771676424693</v>
      </c>
      <c r="AP40" s="32">
        <f t="shared" si="42"/>
        <v>607.30624901080819</v>
      </c>
      <c r="AQ40" s="32">
        <f t="shared" si="43"/>
        <v>11.121707134398484</v>
      </c>
      <c r="AR40" s="33">
        <f t="shared" si="44"/>
        <v>16.07013401538989</v>
      </c>
      <c r="AS40" s="33">
        <f t="shared" si="45"/>
        <v>10.694796181602495</v>
      </c>
      <c r="AT40" s="39">
        <f t="shared" si="46"/>
        <v>344.53926189546257</v>
      </c>
      <c r="AU40" s="36">
        <f t="shared" si="47"/>
        <v>610.69771653675548</v>
      </c>
      <c r="AV40" s="36">
        <f t="shared" si="48"/>
        <v>12.878256691241175</v>
      </c>
      <c r="AW40" s="37">
        <f t="shared" si="49"/>
        <v>13.955725616361621</v>
      </c>
      <c r="AX40" s="40">
        <f t="shared" si="50"/>
        <v>424.73166560514881</v>
      </c>
      <c r="AY40" s="24">
        <f t="shared" si="51"/>
        <v>15.77310615264485</v>
      </c>
      <c r="AZ40" s="2">
        <f t="shared" si="52"/>
        <v>345.93197866957792</v>
      </c>
      <c r="BA40" s="2">
        <f t="shared" si="53"/>
        <v>444.77753846065741</v>
      </c>
      <c r="BB40" s="44">
        <f t="shared" si="54"/>
        <v>444.77753846065741</v>
      </c>
    </row>
    <row r="41" spans="1:54" x14ac:dyDescent="0.25">
      <c r="A41">
        <f t="shared" si="3"/>
        <v>126</v>
      </c>
      <c r="B41">
        <v>2.1</v>
      </c>
      <c r="C41" s="2">
        <f t="shared" si="55"/>
        <v>511.49416922975598</v>
      </c>
      <c r="D41" s="2">
        <f t="shared" si="4"/>
        <v>14.353087135583834</v>
      </c>
      <c r="E41" s="2">
        <f t="shared" si="5"/>
        <v>619.11577434839649</v>
      </c>
      <c r="F41" s="25">
        <f t="shared" si="6"/>
        <v>17.766712059239083</v>
      </c>
      <c r="G41">
        <f t="shared" si="7"/>
        <v>4.1362346332260438E-5</v>
      </c>
      <c r="H41">
        <f t="shared" si="8"/>
        <v>7.2113050172349543E-5</v>
      </c>
      <c r="I41" s="3">
        <f t="shared" si="9"/>
        <v>6.4631655843078127E-5</v>
      </c>
      <c r="J41" s="28">
        <f t="shared" si="10"/>
        <v>0.18980533916210351</v>
      </c>
      <c r="K41" s="24">
        <f t="shared" si="11"/>
        <v>13.172664886131273</v>
      </c>
      <c r="L41" s="24">
        <f t="shared" si="12"/>
        <v>10.212688049293007</v>
      </c>
      <c r="M41" s="39">
        <f t="shared" si="13"/>
        <v>321.1084354443243</v>
      </c>
      <c r="N41" s="40">
        <f t="shared" si="14"/>
        <v>202.49264039952689</v>
      </c>
      <c r="O41" s="32">
        <f t="shared" si="15"/>
        <v>606.901249700726</v>
      </c>
      <c r="P41" s="32">
        <f t="shared" si="16"/>
        <v>10.708123861974485</v>
      </c>
      <c r="Q41" s="33">
        <f t="shared" si="17"/>
        <v>17.308193470961527</v>
      </c>
      <c r="R41" s="33">
        <f t="shared" si="18"/>
        <v>11.173815254654333</v>
      </c>
      <c r="S41" s="39">
        <f t="shared" si="19"/>
        <v>358.39915114550223</v>
      </c>
      <c r="T41" s="36">
        <f t="shared" si="20"/>
        <v>600.75781924436558</v>
      </c>
      <c r="U41" s="36">
        <f t="shared" si="21"/>
        <v>8.8477143461822418</v>
      </c>
      <c r="V41" s="37">
        <f t="shared" si="22"/>
        <v>20.735544056221954</v>
      </c>
      <c r="W41" s="40">
        <f t="shared" si="23"/>
        <v>523.63970806476539</v>
      </c>
      <c r="X41" s="32">
        <f t="shared" si="24"/>
        <v>607.54323917128681</v>
      </c>
      <c r="Y41" s="32">
        <f t="shared" si="25"/>
        <v>11.358119121517177</v>
      </c>
      <c r="Z41" s="33">
        <f t="shared" si="26"/>
        <v>16.33495222316175</v>
      </c>
      <c r="AA41" s="33">
        <f t="shared" si="27"/>
        <v>10.779218911835908</v>
      </c>
      <c r="AB41" s="39">
        <f t="shared" si="28"/>
        <v>345.37716254439937</v>
      </c>
      <c r="AC41" s="36">
        <f t="shared" si="29"/>
        <v>621.34427369352704</v>
      </c>
      <c r="AD41" s="36">
        <f t="shared" si="30"/>
        <v>14.613165624452108</v>
      </c>
      <c r="AE41" s="37">
        <f t="shared" si="31"/>
        <v>12.984794747268092</v>
      </c>
      <c r="AF41" s="40">
        <f t="shared" si="32"/>
        <v>400.64481910993874</v>
      </c>
      <c r="AG41" s="32">
        <f t="shared" si="33"/>
        <v>607.31192789743648</v>
      </c>
      <c r="AH41" s="32">
        <f t="shared" si="34"/>
        <v>11.127600041546872</v>
      </c>
      <c r="AI41" s="33">
        <f t="shared" si="35"/>
        <v>16.66699859877313</v>
      </c>
      <c r="AJ41" s="33">
        <f t="shared" si="36"/>
        <v>10.898274843446767</v>
      </c>
      <c r="AK41" s="39">
        <f t="shared" si="37"/>
        <v>349.32483517474685</v>
      </c>
      <c r="AL41" s="36">
        <f t="shared" si="38"/>
        <v>608.66386368663689</v>
      </c>
      <c r="AM41" s="36">
        <f t="shared" si="39"/>
        <v>12.132114359751517</v>
      </c>
      <c r="AN41" s="37">
        <f t="shared" si="40"/>
        <v>15.321035486748052</v>
      </c>
      <c r="AO41" s="40">
        <f t="shared" si="41"/>
        <v>444.26369824445806</v>
      </c>
      <c r="AP41" s="32">
        <f t="shared" si="42"/>
        <v>607.3795145846434</v>
      </c>
      <c r="AQ41" s="32">
        <f t="shared" si="43"/>
        <v>11.197081694678491</v>
      </c>
      <c r="AR41" s="33">
        <f t="shared" si="44"/>
        <v>16.565417605195623</v>
      </c>
      <c r="AS41" s="33">
        <f t="shared" si="45"/>
        <v>10.860232259529962</v>
      </c>
      <c r="AT41" s="39">
        <f t="shared" si="46"/>
        <v>348.06671200597714</v>
      </c>
      <c r="AU41" s="36">
        <f t="shared" si="47"/>
        <v>611.04808997346379</v>
      </c>
      <c r="AV41" s="36">
        <f t="shared" si="48"/>
        <v>12.97321613283242</v>
      </c>
      <c r="AW41" s="37">
        <f t="shared" si="49"/>
        <v>14.383839647238078</v>
      </c>
      <c r="AX41" s="40">
        <f t="shared" si="50"/>
        <v>428.78176961162336</v>
      </c>
      <c r="AY41" s="24">
        <f t="shared" si="51"/>
        <v>16.287596979446029</v>
      </c>
      <c r="AZ41" s="2">
        <f t="shared" si="52"/>
        <v>350.29196521765641</v>
      </c>
      <c r="BA41" s="2">
        <f t="shared" si="53"/>
        <v>449.33249875769638</v>
      </c>
      <c r="BB41" s="44">
        <f t="shared" si="54"/>
        <v>449.33249875769638</v>
      </c>
    </row>
    <row r="42" spans="1:54" x14ac:dyDescent="0.25">
      <c r="A42">
        <f t="shared" si="3"/>
        <v>132</v>
      </c>
      <c r="B42">
        <v>2.2000000000000002</v>
      </c>
      <c r="C42" s="2">
        <f t="shared" si="55"/>
        <v>516.73237357135076</v>
      </c>
      <c r="D42" s="2">
        <f t="shared" si="4"/>
        <v>14.464850182513503</v>
      </c>
      <c r="E42" s="2">
        <f t="shared" si="5"/>
        <v>620.04347452991101</v>
      </c>
      <c r="F42" s="25">
        <f t="shared" si="6"/>
        <v>18.496608454689696</v>
      </c>
      <c r="G42">
        <f t="shared" si="7"/>
        <v>4.0538030676790227E-5</v>
      </c>
      <c r="H42">
        <f t="shared" si="8"/>
        <v>7.0675899684239702E-5</v>
      </c>
      <c r="I42" s="3">
        <f t="shared" si="9"/>
        <v>6.3913080599023206E-5</v>
      </c>
      <c r="J42" s="28">
        <f t="shared" si="10"/>
        <v>0.18677313523884542</v>
      </c>
      <c r="K42" s="24">
        <f t="shared" si="11"/>
        <v>13.561357076595041</v>
      </c>
      <c r="L42" s="24">
        <f t="shared" si="12"/>
        <v>10.244619084642679</v>
      </c>
      <c r="M42" s="39">
        <f t="shared" si="13"/>
        <v>320.05064537122104</v>
      </c>
      <c r="N42" s="40">
        <f t="shared" si="14"/>
        <v>204.14335191061292</v>
      </c>
      <c r="O42" s="32">
        <f t="shared" si="15"/>
        <v>606.88219706244377</v>
      </c>
      <c r="P42" s="32">
        <f t="shared" si="16"/>
        <v>10.690140392293785</v>
      </c>
      <c r="Q42" s="33">
        <f t="shared" si="17"/>
        <v>17.960397271721497</v>
      </c>
      <c r="R42" s="33">
        <f t="shared" si="18"/>
        <v>11.523005810760509</v>
      </c>
      <c r="S42" s="39">
        <f t="shared" si="19"/>
        <v>367.79550455573769</v>
      </c>
      <c r="T42" s="36">
        <f t="shared" si="20"/>
        <v>600.93706324432605</v>
      </c>
      <c r="U42" s="36">
        <f t="shared" si="21"/>
        <v>8.8714422068103822</v>
      </c>
      <c r="V42" s="37">
        <f t="shared" si="22"/>
        <v>21.430372132337382</v>
      </c>
      <c r="W42" s="40">
        <f t="shared" si="23"/>
        <v>529.5679199052837</v>
      </c>
      <c r="X42" s="32">
        <f t="shared" si="24"/>
        <v>607.7317158766491</v>
      </c>
      <c r="Y42" s="32">
        <f t="shared" si="25"/>
        <v>11.526815426257134</v>
      </c>
      <c r="Z42" s="33">
        <f t="shared" si="26"/>
        <v>16.680056310444076</v>
      </c>
      <c r="AA42" s="33">
        <f t="shared" si="27"/>
        <v>10.903271360210386</v>
      </c>
      <c r="AB42" s="39">
        <f t="shared" si="28"/>
        <v>347.52812141023622</v>
      </c>
      <c r="AC42" s="36">
        <f t="shared" si="29"/>
        <v>622.53332014198725</v>
      </c>
      <c r="AD42" s="36">
        <f t="shared" si="30"/>
        <v>14.741309409549347</v>
      </c>
      <c r="AE42" s="37">
        <f t="shared" si="31"/>
        <v>13.360462408324965</v>
      </c>
      <c r="AF42" s="40">
        <f t="shared" si="32"/>
        <v>403.63047220131119</v>
      </c>
      <c r="AG42" s="32">
        <f t="shared" si="33"/>
        <v>607.34855190539838</v>
      </c>
      <c r="AH42" s="32">
        <f t="shared" si="34"/>
        <v>11.165415058162912</v>
      </c>
      <c r="AI42" s="33">
        <f t="shared" si="35"/>
        <v>17.209096831576446</v>
      </c>
      <c r="AJ42" s="33">
        <f t="shared" si="36"/>
        <v>11.127054229992218</v>
      </c>
      <c r="AK42" s="39">
        <f t="shared" si="37"/>
        <v>354.88466859389928</v>
      </c>
      <c r="AL42" s="36">
        <f t="shared" si="38"/>
        <v>608.7779272676496</v>
      </c>
      <c r="AM42" s="36">
        <f t="shared" si="39"/>
        <v>12.188327887618755</v>
      </c>
      <c r="AN42" s="37">
        <f t="shared" si="40"/>
        <v>15.801914897682325</v>
      </c>
      <c r="AO42" s="40">
        <f t="shared" si="41"/>
        <v>448.88155922211502</v>
      </c>
      <c r="AP42" s="32">
        <f t="shared" si="42"/>
        <v>607.4781274767181</v>
      </c>
      <c r="AQ42" s="32">
        <f t="shared" si="43"/>
        <v>11.295530479225711</v>
      </c>
      <c r="AR42" s="33">
        <f t="shared" si="44"/>
        <v>17.014491089648399</v>
      </c>
      <c r="AS42" s="33">
        <f t="shared" si="45"/>
        <v>11.039773100934394</v>
      </c>
      <c r="AT42" s="39">
        <f t="shared" si="46"/>
        <v>352.02583339456191</v>
      </c>
      <c r="AU42" s="36">
        <f t="shared" si="47"/>
        <v>611.40795484224645</v>
      </c>
      <c r="AV42" s="36">
        <f t="shared" si="48"/>
        <v>13.064757038709555</v>
      </c>
      <c r="AW42" s="37">
        <f t="shared" si="49"/>
        <v>14.805555175318602</v>
      </c>
      <c r="AX42" s="40">
        <f t="shared" si="50"/>
        <v>432.6304330380695</v>
      </c>
      <c r="AY42" s="24">
        <f t="shared" si="51"/>
        <v>16.78279326463171</v>
      </c>
      <c r="AZ42" s="2">
        <f t="shared" si="52"/>
        <v>355.55853198860882</v>
      </c>
      <c r="BA42" s="2">
        <f t="shared" si="53"/>
        <v>453.67759609169491</v>
      </c>
      <c r="BB42" s="44">
        <f t="shared" si="54"/>
        <v>453.67759609169491</v>
      </c>
    </row>
    <row r="43" spans="1:54" x14ac:dyDescent="0.25">
      <c r="A43">
        <f t="shared" si="3"/>
        <v>138</v>
      </c>
      <c r="B43">
        <v>2.2999999999999998</v>
      </c>
      <c r="C43" s="2">
        <f t="shared" si="55"/>
        <v>521.72923550544908</v>
      </c>
      <c r="D43" s="2">
        <f t="shared" si="4"/>
        <v>14.572036718691836</v>
      </c>
      <c r="E43" s="2">
        <f t="shared" si="5"/>
        <v>620.97550577737798</v>
      </c>
      <c r="F43" s="25">
        <f t="shared" si="6"/>
        <v>19.223978411322065</v>
      </c>
      <c r="G43">
        <f t="shared" si="7"/>
        <v>3.9763725181839537E-5</v>
      </c>
      <c r="H43">
        <f t="shared" si="8"/>
        <v>6.9325939250236104E-5</v>
      </c>
      <c r="I43" s="3">
        <f t="shared" si="9"/>
        <v>6.32381003820214E-5</v>
      </c>
      <c r="J43" s="28">
        <f t="shared" si="10"/>
        <v>0.1839136410006042</v>
      </c>
      <c r="K43" s="24">
        <f t="shared" si="11"/>
        <v>13.945798398555789</v>
      </c>
      <c r="L43" s="24">
        <f t="shared" si="12"/>
        <v>10.282853583707908</v>
      </c>
      <c r="M43" s="39">
        <f t="shared" si="13"/>
        <v>319.22337447054292</v>
      </c>
      <c r="N43" s="40">
        <f t="shared" si="14"/>
        <v>205.71383335033434</v>
      </c>
      <c r="O43" s="32">
        <f t="shared" si="15"/>
        <v>606.86715963919949</v>
      </c>
      <c r="P43" s="32">
        <f t="shared" si="16"/>
        <v>10.67609344075437</v>
      </c>
      <c r="Q43" s="33">
        <f t="shared" si="17"/>
        <v>18.602462596844237</v>
      </c>
      <c r="R43" s="33">
        <f t="shared" si="18"/>
        <v>11.943137981470407</v>
      </c>
      <c r="S43" s="39">
        <f t="shared" si="19"/>
        <v>379.38513934615253</v>
      </c>
      <c r="T43" s="36">
        <f t="shared" si="20"/>
        <v>601.10414081088868</v>
      </c>
      <c r="U43" s="36">
        <f t="shared" si="21"/>
        <v>8.8940734732952027</v>
      </c>
      <c r="V43" s="37">
        <f t="shared" si="22"/>
        <v>22.117609020579614</v>
      </c>
      <c r="W43" s="40">
        <f t="shared" si="23"/>
        <v>535.26104776661361</v>
      </c>
      <c r="X43" s="32">
        <f t="shared" si="24"/>
        <v>608.00323338657336</v>
      </c>
      <c r="Y43" s="32">
        <f t="shared" si="25"/>
        <v>11.737612608694253</v>
      </c>
      <c r="Z43" s="33">
        <f t="shared" si="26"/>
        <v>16.951779192605731</v>
      </c>
      <c r="AA43" s="33">
        <f t="shared" si="27"/>
        <v>11.012900410396153</v>
      </c>
      <c r="AB43" s="39">
        <f t="shared" si="28"/>
        <v>349.18157945914555</v>
      </c>
      <c r="AC43" s="36">
        <f t="shared" si="29"/>
        <v>623.74046893367404</v>
      </c>
      <c r="AD43" s="36">
        <f t="shared" si="30"/>
        <v>14.865112648737732</v>
      </c>
      <c r="AE43" s="37">
        <f t="shared" si="31"/>
        <v>13.731718364663683</v>
      </c>
      <c r="AF43" s="40">
        <f t="shared" si="32"/>
        <v>406.44781441680158</v>
      </c>
      <c r="AG43" s="32">
        <f t="shared" si="33"/>
        <v>607.37703195737197</v>
      </c>
      <c r="AH43" s="32">
        <f t="shared" si="34"/>
        <v>11.194554195144946</v>
      </c>
      <c r="AI43" s="33">
        <f t="shared" si="35"/>
        <v>17.755819911961524</v>
      </c>
      <c r="AJ43" s="33">
        <f t="shared" si="36"/>
        <v>11.405467764238164</v>
      </c>
      <c r="AK43" s="39">
        <f t="shared" si="37"/>
        <v>362.00139026901894</v>
      </c>
      <c r="AL43" s="36">
        <f t="shared" si="38"/>
        <v>608.89112488708372</v>
      </c>
      <c r="AM43" s="36">
        <f t="shared" si="39"/>
        <v>12.241555587027975</v>
      </c>
      <c r="AN43" s="37">
        <f t="shared" si="40"/>
        <v>16.277668686269244</v>
      </c>
      <c r="AO43" s="40">
        <f t="shared" si="41"/>
        <v>453.31775540028508</v>
      </c>
      <c r="AP43" s="32">
        <f t="shared" si="42"/>
        <v>607.61276431820568</v>
      </c>
      <c r="AQ43" s="32">
        <f t="shared" si="43"/>
        <v>11.422557725876835</v>
      </c>
      <c r="AR43" s="33">
        <f t="shared" si="44"/>
        <v>17.408153074015964</v>
      </c>
      <c r="AS43" s="33">
        <f t="shared" si="45"/>
        <v>11.222608068218999</v>
      </c>
      <c r="AT43" s="39">
        <f t="shared" si="46"/>
        <v>356.0593621779322</v>
      </c>
      <c r="AU43" s="36">
        <f t="shared" si="47"/>
        <v>611.7766556244311</v>
      </c>
      <c r="AV43" s="36">
        <f t="shared" si="48"/>
        <v>13.153146616475709</v>
      </c>
      <c r="AW43" s="37">
        <f t="shared" si="49"/>
        <v>15.221323270353468</v>
      </c>
      <c r="AX43" s="40">
        <f t="shared" si="50"/>
        <v>436.29433605167367</v>
      </c>
      <c r="AY43" s="24">
        <f t="shared" si="51"/>
        <v>17.258316764661682</v>
      </c>
      <c r="AZ43" s="2">
        <f t="shared" si="52"/>
        <v>361.65686781306232</v>
      </c>
      <c r="BA43" s="2">
        <f t="shared" si="53"/>
        <v>457.83023840884346</v>
      </c>
      <c r="BB43" s="44">
        <f t="shared" si="54"/>
        <v>457.83023840884346</v>
      </c>
    </row>
    <row r="44" spans="1:54" x14ac:dyDescent="0.25">
      <c r="A44">
        <f t="shared" si="3"/>
        <v>144</v>
      </c>
      <c r="B44">
        <v>2.4</v>
      </c>
      <c r="C44" s="2">
        <f t="shared" si="55"/>
        <v>526.50477417016998</v>
      </c>
      <c r="D44" s="2">
        <f t="shared" si="4"/>
        <v>14.674998387259665</v>
      </c>
      <c r="E44" s="2">
        <f t="shared" si="5"/>
        <v>621.91040777188334</v>
      </c>
      <c r="F44" s="25">
        <f t="shared" si="6"/>
        <v>19.949050304792454</v>
      </c>
      <c r="G44">
        <f t="shared" si="7"/>
        <v>3.9034406985584644E-5</v>
      </c>
      <c r="H44">
        <f t="shared" si="8"/>
        <v>6.8054411777987355E-5</v>
      </c>
      <c r="I44" s="3">
        <f t="shared" si="9"/>
        <v>6.2602336645897039E-5</v>
      </c>
      <c r="J44" s="28">
        <f t="shared" si="10"/>
        <v>0.18121008337816316</v>
      </c>
      <c r="K44" s="24">
        <f t="shared" si="11"/>
        <v>14.326300820687218</v>
      </c>
      <c r="L44" s="24">
        <f t="shared" si="12"/>
        <v>10.328980665845322</v>
      </c>
      <c r="M44" s="39">
        <f t="shared" si="13"/>
        <v>318.67047778471533</v>
      </c>
      <c r="N44" s="40">
        <f t="shared" si="14"/>
        <v>207.2106979714421</v>
      </c>
      <c r="O44" s="32">
        <f t="shared" si="15"/>
        <v>606.85703941652957</v>
      </c>
      <c r="P44" s="32">
        <f t="shared" si="16"/>
        <v>10.666713874055139</v>
      </c>
      <c r="Q44" s="33">
        <f t="shared" si="17"/>
        <v>19.232690899998158</v>
      </c>
      <c r="R44" s="33">
        <f t="shared" si="18"/>
        <v>12.437345993727128</v>
      </c>
      <c r="S44" s="39">
        <f t="shared" si="19"/>
        <v>393.23622105697297</v>
      </c>
      <c r="T44" s="36">
        <f t="shared" si="20"/>
        <v>601.26028822136084</v>
      </c>
      <c r="U44" s="36">
        <f t="shared" si="21"/>
        <v>8.9156953156422585</v>
      </c>
      <c r="V44" s="37">
        <f t="shared" si="22"/>
        <v>22.797729988442143</v>
      </c>
      <c r="W44" s="40">
        <f t="shared" si="23"/>
        <v>540.73719417067764</v>
      </c>
      <c r="X44" s="32">
        <f t="shared" si="24"/>
        <v>608.40529488573168</v>
      </c>
      <c r="Y44" s="32">
        <f t="shared" si="25"/>
        <v>11.993488616952563</v>
      </c>
      <c r="Z44" s="33">
        <f t="shared" si="26"/>
        <v>17.148722047581096</v>
      </c>
      <c r="AA44" s="33">
        <f t="shared" si="27"/>
        <v>11.099337940859879</v>
      </c>
      <c r="AB44" s="39">
        <f t="shared" si="28"/>
        <v>350.03887661783017</v>
      </c>
      <c r="AC44" s="36">
        <f t="shared" si="29"/>
        <v>624.96372355860944</v>
      </c>
      <c r="AD44" s="36">
        <f t="shared" si="30"/>
        <v>14.984882434143319</v>
      </c>
      <c r="AE44" s="37">
        <f t="shared" si="31"/>
        <v>14.098917609959951</v>
      </c>
      <c r="AF44" s="40">
        <f t="shared" si="32"/>
        <v>409.11088832958325</v>
      </c>
      <c r="AG44" s="32">
        <f t="shared" si="33"/>
        <v>607.39192752416227</v>
      </c>
      <c r="AH44" s="32">
        <f t="shared" si="34"/>
        <v>11.209686577998465</v>
      </c>
      <c r="AI44" s="33">
        <f t="shared" si="35"/>
        <v>18.31723213265337</v>
      </c>
      <c r="AJ44" s="33">
        <f t="shared" si="36"/>
        <v>11.746604008517338</v>
      </c>
      <c r="AK44" s="39">
        <f t="shared" si="37"/>
        <v>371.0697098265893</v>
      </c>
      <c r="AL44" s="36">
        <f t="shared" si="38"/>
        <v>609.003302596146</v>
      </c>
      <c r="AM44" s="36">
        <f t="shared" si="39"/>
        <v>12.2920321756345</v>
      </c>
      <c r="AN44" s="37">
        <f t="shared" si="40"/>
        <v>16.748667576144136</v>
      </c>
      <c r="AO44" s="40">
        <f t="shared" si="41"/>
        <v>457.58675451262854</v>
      </c>
      <c r="AP44" s="32">
        <f t="shared" si="42"/>
        <v>607.8034618244767</v>
      </c>
      <c r="AQ44" s="32">
        <f t="shared" si="43"/>
        <v>11.586063121465948</v>
      </c>
      <c r="AR44" s="33">
        <f t="shared" si="44"/>
        <v>17.734199207872191</v>
      </c>
      <c r="AS44" s="33">
        <f t="shared" si="45"/>
        <v>11.393484390532613</v>
      </c>
      <c r="AT44" s="39">
        <f t="shared" si="46"/>
        <v>359.67113400811093</v>
      </c>
      <c r="AU44" s="36">
        <f t="shared" si="47"/>
        <v>612.15358071031176</v>
      </c>
      <c r="AV44" s="36">
        <f t="shared" si="48"/>
        <v>13.2386210738545</v>
      </c>
      <c r="AW44" s="37">
        <f t="shared" si="49"/>
        <v>15.63154646953625</v>
      </c>
      <c r="AX44" s="40">
        <f t="shared" si="50"/>
        <v>439.78816689999485</v>
      </c>
      <c r="AY44" s="24">
        <f t="shared" si="51"/>
        <v>17.713713241523411</v>
      </c>
      <c r="AZ44" s="2">
        <f t="shared" si="52"/>
        <v>368.50398537737584</v>
      </c>
      <c r="BA44" s="2">
        <f t="shared" si="53"/>
        <v>461.80575097822106</v>
      </c>
      <c r="BB44" s="44">
        <f t="shared" si="54"/>
        <v>461.80575097822106</v>
      </c>
    </row>
    <row r="45" spans="1:54" x14ac:dyDescent="0.25">
      <c r="A45">
        <f t="shared" si="3"/>
        <v>150</v>
      </c>
      <c r="B45">
        <v>2.5</v>
      </c>
      <c r="C45" s="2">
        <f t="shared" si="55"/>
        <v>531.07661362495412</v>
      </c>
      <c r="D45" s="2">
        <f t="shared" si="4"/>
        <v>14.774046884637757</v>
      </c>
      <c r="E45" s="2">
        <f t="shared" si="5"/>
        <v>622.84691101035207</v>
      </c>
      <c r="F45" s="25">
        <f t="shared" si="6"/>
        <v>20.672027391987125</v>
      </c>
      <c r="G45">
        <f t="shared" si="7"/>
        <v>3.8345743488166689E-5</v>
      </c>
      <c r="H45">
        <f t="shared" si="8"/>
        <v>6.6853763610152803E-5</v>
      </c>
      <c r="I45" s="3">
        <f t="shared" si="9"/>
        <v>6.2002012561979757E-5</v>
      </c>
      <c r="J45" s="28">
        <f t="shared" si="10"/>
        <v>0.17864794369250386</v>
      </c>
      <c r="K45" s="24">
        <f t="shared" si="11"/>
        <v>14.703142134979466</v>
      </c>
      <c r="L45" s="24">
        <f t="shared" si="12"/>
        <v>10.384504324384466</v>
      </c>
      <c r="M45" s="39">
        <f t="shared" si="13"/>
        <v>318.43226562337532</v>
      </c>
      <c r="N45" s="40">
        <f t="shared" si="14"/>
        <v>208.6397946617206</v>
      </c>
      <c r="O45" s="32">
        <f t="shared" si="15"/>
        <v>606.85266133732978</v>
      </c>
      <c r="P45" s="32">
        <f t="shared" si="16"/>
        <v>10.662674855669948</v>
      </c>
      <c r="Q45" s="33">
        <f t="shared" si="17"/>
        <v>19.849309716331426</v>
      </c>
      <c r="R45" s="33">
        <f t="shared" si="18"/>
        <v>13.006988492903545</v>
      </c>
      <c r="S45" s="39">
        <f t="shared" si="19"/>
        <v>409.36066115793301</v>
      </c>
      <c r="T45" s="36">
        <f t="shared" si="20"/>
        <v>601.40657675965917</v>
      </c>
      <c r="U45" s="36">
        <f t="shared" si="21"/>
        <v>8.9363850994427274</v>
      </c>
      <c r="V45" s="37">
        <f t="shared" si="22"/>
        <v>23.471163074437282</v>
      </c>
      <c r="W45" s="40">
        <f t="shared" si="23"/>
        <v>546.01240767001411</v>
      </c>
      <c r="X45" s="32">
        <f t="shared" si="24"/>
        <v>609.01408914869069</v>
      </c>
      <c r="Y45" s="32">
        <f t="shared" si="25"/>
        <v>12.296774582691896</v>
      </c>
      <c r="Z45" s="33">
        <f t="shared" si="26"/>
        <v>17.272867499067345</v>
      </c>
      <c r="AA45" s="33">
        <f t="shared" si="27"/>
        <v>11.156963558453061</v>
      </c>
      <c r="AB45" s="39">
        <f t="shared" si="28"/>
        <v>349.88980227355569</v>
      </c>
      <c r="AC45" s="36">
        <f t="shared" si="29"/>
        <v>626.20128473801913</v>
      </c>
      <c r="AD45" s="36">
        <f t="shared" si="30"/>
        <v>15.100892795811124</v>
      </c>
      <c r="AE45" s="37">
        <f t="shared" si="31"/>
        <v>14.462375835520984</v>
      </c>
      <c r="AF45" s="40">
        <f t="shared" si="32"/>
        <v>411.63211152757418</v>
      </c>
      <c r="AG45" s="32">
        <f t="shared" si="33"/>
        <v>607.38933059773024</v>
      </c>
      <c r="AH45" s="32">
        <f t="shared" si="34"/>
        <v>11.20705404415863</v>
      </c>
      <c r="AI45" s="33">
        <f t="shared" si="35"/>
        <v>18.901836670017705</v>
      </c>
      <c r="AJ45" s="33">
        <f t="shared" si="36"/>
        <v>12.167300391101293</v>
      </c>
      <c r="AK45" s="39">
        <f t="shared" si="37"/>
        <v>382.59534492327168</v>
      </c>
      <c r="AL45" s="36">
        <f t="shared" si="38"/>
        <v>609.11432160213531</v>
      </c>
      <c r="AM45" s="36">
        <f t="shared" si="39"/>
        <v>12.339966481896051</v>
      </c>
      <c r="AN45" s="37">
        <f t="shared" si="40"/>
        <v>17.215242484429485</v>
      </c>
      <c r="AO45" s="40">
        <f t="shared" si="41"/>
        <v>461.70134611185023</v>
      </c>
      <c r="AP45" s="32">
        <f t="shared" si="42"/>
        <v>608.08803403003401</v>
      </c>
      <c r="AQ45" s="32">
        <f t="shared" si="43"/>
        <v>11.79653330426445</v>
      </c>
      <c r="AR45" s="33">
        <f t="shared" si="44"/>
        <v>17.977958469365102</v>
      </c>
      <c r="AS45" s="33">
        <f t="shared" si="45"/>
        <v>11.533450304967776</v>
      </c>
      <c r="AT45" s="39">
        <f t="shared" si="46"/>
        <v>362.24750379211582</v>
      </c>
      <c r="AU45" s="36">
        <f t="shared" si="47"/>
        <v>612.5381614374719</v>
      </c>
      <c r="AV45" s="36">
        <f t="shared" si="48"/>
        <v>13.32139030843511</v>
      </c>
      <c r="AW45" s="37">
        <f t="shared" si="49"/>
        <v>16.036585761097815</v>
      </c>
      <c r="AX45" s="40">
        <f t="shared" si="50"/>
        <v>443.12493044373036</v>
      </c>
      <c r="AY45" s="24">
        <f t="shared" si="51"/>
        <v>18.148417438783394</v>
      </c>
      <c r="AZ45" s="2">
        <f t="shared" si="52"/>
        <v>376.02332803671902</v>
      </c>
      <c r="BA45" s="2">
        <f t="shared" si="53"/>
        <v>465.61769893829216</v>
      </c>
      <c r="BB45" s="44">
        <f t="shared" si="54"/>
        <v>465.61769893829216</v>
      </c>
    </row>
    <row r="46" spans="1:54" x14ac:dyDescent="0.25">
      <c r="A46">
        <f t="shared" si="3"/>
        <v>156</v>
      </c>
      <c r="B46">
        <v>2.6</v>
      </c>
      <c r="C46" s="2">
        <f t="shared" si="55"/>
        <v>535.46035377903593</v>
      </c>
      <c r="D46" s="2">
        <f t="shared" si="4"/>
        <v>14.869459927364842</v>
      </c>
      <c r="E46" s="2">
        <f t="shared" si="5"/>
        <v>623.78391103387185</v>
      </c>
      <c r="F46" s="25">
        <f t="shared" si="6"/>
        <v>21.393091232169873</v>
      </c>
      <c r="G46">
        <f t="shared" si="7"/>
        <v>3.7693974031556135E-5</v>
      </c>
      <c r="H46">
        <f t="shared" si="8"/>
        <v>6.5717438239541425E-5</v>
      </c>
      <c r="I46" s="3">
        <f t="shared" si="9"/>
        <v>6.1433849876674061E-5</v>
      </c>
      <c r="J46" s="28">
        <f t="shared" si="10"/>
        <v>0.17621457755847567</v>
      </c>
      <c r="K46" s="24">
        <f t="shared" si="11"/>
        <v>15.07657083033514</v>
      </c>
      <c r="L46" s="24">
        <f t="shared" si="12"/>
        <v>10.450854972510115</v>
      </c>
      <c r="M46" s="39">
        <f t="shared" si="13"/>
        <v>318.54597970194533</v>
      </c>
      <c r="N46" s="40">
        <f t="shared" si="14"/>
        <v>210.00632109977505</v>
      </c>
      <c r="O46" s="32">
        <f t="shared" si="15"/>
        <v>606.85475263465787</v>
      </c>
      <c r="P46" s="32">
        <f t="shared" si="16"/>
        <v>10.664602781936953</v>
      </c>
      <c r="Q46" s="33">
        <f t="shared" si="17"/>
        <v>20.450487797414738</v>
      </c>
      <c r="R46" s="33">
        <f t="shared" si="18"/>
        <v>13.6514912302139</v>
      </c>
      <c r="S46" s="39">
        <f t="shared" si="19"/>
        <v>427.71040269783231</v>
      </c>
      <c r="T46" s="36">
        <f t="shared" si="20"/>
        <v>601.54393976405481</v>
      </c>
      <c r="U46" s="36">
        <f t="shared" si="21"/>
        <v>8.9562118081006439</v>
      </c>
      <c r="V46" s="37">
        <f t="shared" si="22"/>
        <v>24.138295426325126</v>
      </c>
      <c r="W46" s="40">
        <f t="shared" si="23"/>
        <v>551.10098691709345</v>
      </c>
      <c r="X46" s="32">
        <f t="shared" si="24"/>
        <v>609.94338099365677</v>
      </c>
      <c r="Y46" s="32">
        <f t="shared" si="25"/>
        <v>12.649001466543263</v>
      </c>
      <c r="Z46" s="33">
        <f t="shared" si="26"/>
        <v>17.32993277548664</v>
      </c>
      <c r="AA46" s="33">
        <f t="shared" si="27"/>
        <v>11.184286839658913</v>
      </c>
      <c r="AB46" s="39">
        <f t="shared" si="28"/>
        <v>348.63681891739287</v>
      </c>
      <c r="AC46" s="36">
        <f t="shared" si="29"/>
        <v>627.4515284377344</v>
      </c>
      <c r="AD46" s="36">
        <f t="shared" si="30"/>
        <v>15.213389426672995</v>
      </c>
      <c r="AE46" s="37">
        <f t="shared" si="31"/>
        <v>14.822375030498046</v>
      </c>
      <c r="AF46" s="40">
        <f t="shared" si="32"/>
        <v>414.02251831721503</v>
      </c>
      <c r="AG46" s="32">
        <f t="shared" si="33"/>
        <v>607.36761395415601</v>
      </c>
      <c r="AH46" s="32">
        <f t="shared" si="34"/>
        <v>11.184947034622995</v>
      </c>
      <c r="AI46" s="33">
        <f t="shared" si="35"/>
        <v>19.515572545462266</v>
      </c>
      <c r="AJ46" s="33">
        <f t="shared" si="36"/>
        <v>12.68764892427189</v>
      </c>
      <c r="AK46" s="39">
        <f t="shared" si="37"/>
        <v>397.17691525186467</v>
      </c>
      <c r="AL46" s="36">
        <f t="shared" si="38"/>
        <v>609.22405878065479</v>
      </c>
      <c r="AM46" s="36">
        <f t="shared" si="39"/>
        <v>12.385545161420813</v>
      </c>
      <c r="AN46" s="37">
        <f t="shared" si="40"/>
        <v>17.677690117917894</v>
      </c>
      <c r="AO46" s="40">
        <f t="shared" si="41"/>
        <v>465.67289292474777</v>
      </c>
      <c r="AP46" s="32">
        <f t="shared" si="42"/>
        <v>608.53863828523629</v>
      </c>
      <c r="AQ46" s="32">
        <f t="shared" si="43"/>
        <v>12.067071730273966</v>
      </c>
      <c r="AR46" s="33">
        <f t="shared" si="44"/>
        <v>18.123825090097004</v>
      </c>
      <c r="AS46" s="33">
        <f t="shared" si="45"/>
        <v>11.622419039555581</v>
      </c>
      <c r="AT46" s="39">
        <f t="shared" si="46"/>
        <v>363.13060027827146</v>
      </c>
      <c r="AU46" s="36">
        <f t="shared" si="47"/>
        <v>612.92987025578532</v>
      </c>
      <c r="AV46" s="36">
        <f t="shared" si="48"/>
        <v>13.401641732415944</v>
      </c>
      <c r="AW46" s="37">
        <f t="shared" si="49"/>
        <v>16.436766327471101</v>
      </c>
      <c r="AX46" s="40">
        <f t="shared" si="50"/>
        <v>446.31619863326341</v>
      </c>
      <c r="AY46" s="24">
        <f t="shared" si="51"/>
        <v>18.5618681388341</v>
      </c>
      <c r="AZ46" s="2">
        <f t="shared" si="52"/>
        <v>384.1636842863403</v>
      </c>
      <c r="BA46" s="2">
        <f t="shared" si="53"/>
        <v>469.27814919807992</v>
      </c>
      <c r="BB46" s="44">
        <f t="shared" si="54"/>
        <v>469.27814919807992</v>
      </c>
    </row>
    <row r="47" spans="1:54" x14ac:dyDescent="0.25">
      <c r="A47">
        <f t="shared" si="3"/>
        <v>162</v>
      </c>
      <c r="B47">
        <v>2.7</v>
      </c>
      <c r="C47" s="2">
        <f t="shared" si="55"/>
        <v>539.66987157779181</v>
      </c>
      <c r="D47" s="2">
        <f t="shared" si="4"/>
        <v>14.961486126128369</v>
      </c>
      <c r="E47" s="2">
        <f t="shared" si="5"/>
        <v>624.72044644735934</v>
      </c>
      <c r="F47" s="25">
        <f t="shared" si="6"/>
        <v>22.112404549469808</v>
      </c>
      <c r="G47">
        <f t="shared" si="7"/>
        <v>3.7075815560367341E-5</v>
      </c>
      <c r="H47">
        <f t="shared" si="8"/>
        <v>6.463971183376129E-5</v>
      </c>
      <c r="I47" s="3">
        <f t="shared" si="9"/>
        <v>6.0894986673784E-5</v>
      </c>
      <c r="J47" s="28">
        <f t="shared" si="10"/>
        <v>0.17389891081555428</v>
      </c>
      <c r="K47" s="24">
        <f t="shared" si="11"/>
        <v>15.44681012058742</v>
      </c>
      <c r="L47" s="24">
        <f t="shared" si="12"/>
        <v>10.529398997238889</v>
      </c>
      <c r="M47" s="39">
        <f t="shared" si="13"/>
        <v>319.0461881967247</v>
      </c>
      <c r="N47" s="40">
        <f t="shared" si="14"/>
        <v>211.3149166363057</v>
      </c>
      <c r="O47" s="32">
        <f t="shared" si="15"/>
        <v>606.86392265427401</v>
      </c>
      <c r="P47" s="32">
        <f t="shared" si="16"/>
        <v>10.673086834363868</v>
      </c>
      <c r="Q47" s="33">
        <f t="shared" si="17"/>
        <v>21.034350152608578</v>
      </c>
      <c r="R47" s="33">
        <f t="shared" si="18"/>
        <v>14.368229127632851</v>
      </c>
      <c r="S47" s="39">
        <f t="shared" si="19"/>
        <v>448.17499517442513</v>
      </c>
      <c r="T47" s="36">
        <f t="shared" si="20"/>
        <v>601.67319445484759</v>
      </c>
      <c r="U47" s="36">
        <f t="shared" si="21"/>
        <v>8.975237214090221</v>
      </c>
      <c r="V47" s="37">
        <f t="shared" si="22"/>
        <v>24.799478579490739</v>
      </c>
      <c r="W47" s="40">
        <f t="shared" si="23"/>
        <v>556.01572988635246</v>
      </c>
      <c r="X47" s="32">
        <f t="shared" si="24"/>
        <v>611.35133536276874</v>
      </c>
      <c r="Y47" s="32">
        <f t="shared" si="25"/>
        <v>13.05071970716833</v>
      </c>
      <c r="Z47" s="33">
        <f t="shared" si="26"/>
        <v>17.329427874522953</v>
      </c>
      <c r="AA47" s="33">
        <f t="shared" si="27"/>
        <v>11.18404275665214</v>
      </c>
      <c r="AB47" s="39">
        <f t="shared" si="28"/>
        <v>346.29295074409799</v>
      </c>
      <c r="AC47" s="36">
        <f t="shared" si="29"/>
        <v>628.71298656171007</v>
      </c>
      <c r="AD47" s="36">
        <f t="shared" si="30"/>
        <v>15.32259357655178</v>
      </c>
      <c r="AE47" s="37">
        <f t="shared" si="31"/>
        <v>15.179168111341113</v>
      </c>
      <c r="AF47" s="40">
        <f t="shared" si="32"/>
        <v>416.29195775607849</v>
      </c>
      <c r="AG47" s="32">
        <f t="shared" si="33"/>
        <v>607.32746766910418</v>
      </c>
      <c r="AH47" s="32">
        <f t="shared" si="34"/>
        <v>11.143687422939651</v>
      </c>
      <c r="AI47" s="33">
        <f t="shared" si="35"/>
        <v>20.161452814377832</v>
      </c>
      <c r="AJ47" s="33">
        <f t="shared" si="36"/>
        <v>13.330201912148063</v>
      </c>
      <c r="AK47" s="39">
        <f t="shared" si="37"/>
        <v>415.47940566507208</v>
      </c>
      <c r="AL47" s="36">
        <f t="shared" si="38"/>
        <v>609.33240644648868</v>
      </c>
      <c r="AM47" s="36">
        <f t="shared" si="39"/>
        <v>12.428935758999444</v>
      </c>
      <c r="AN47" s="37">
        <f t="shared" si="40"/>
        <v>18.136277606660762</v>
      </c>
      <c r="AO47" s="40">
        <f t="shared" si="41"/>
        <v>469.51153658660951</v>
      </c>
      <c r="AP47" s="32">
        <f t="shared" si="42"/>
        <v>609.29313967019425</v>
      </c>
      <c r="AQ47" s="32">
        <f t="shared" si="43"/>
        <v>12.413386892787186</v>
      </c>
      <c r="AR47" s="33">
        <f t="shared" si="44"/>
        <v>18.157824692984018</v>
      </c>
      <c r="AS47" s="33">
        <f t="shared" si="45"/>
        <v>11.643731017375366</v>
      </c>
      <c r="AT47" s="39">
        <f t="shared" si="46"/>
        <v>361.74419735597047</v>
      </c>
      <c r="AU47" s="36">
        <f t="shared" si="47"/>
        <v>613.32821841967643</v>
      </c>
      <c r="AV47" s="36">
        <f t="shared" si="48"/>
        <v>13.479543418745202</v>
      </c>
      <c r="AW47" s="37">
        <f t="shared" si="49"/>
        <v>16.83238230717474</v>
      </c>
      <c r="AX47" s="40">
        <f t="shared" si="50"/>
        <v>449.3723156494749</v>
      </c>
      <c r="AY47" s="24">
        <f t="shared" si="51"/>
        <v>18.95379526739509</v>
      </c>
      <c r="AZ47" s="2">
        <f t="shared" si="52"/>
        <v>392.92288723489139</v>
      </c>
      <c r="BA47" s="2">
        <f t="shared" si="53"/>
        <v>472.79788496962885</v>
      </c>
      <c r="BB47" s="44">
        <f t="shared" si="54"/>
        <v>472.79788496962885</v>
      </c>
    </row>
    <row r="48" spans="1:54" x14ac:dyDescent="0.25">
      <c r="A48">
        <f t="shared" si="3"/>
        <v>168</v>
      </c>
      <c r="B48">
        <v>2.8</v>
      </c>
      <c r="C48" s="2">
        <f t="shared" si="55"/>
        <v>543.71756771507319</v>
      </c>
      <c r="D48" s="2">
        <f t="shared" si="4"/>
        <v>15.050349001512366</v>
      </c>
      <c r="E48" s="2">
        <f t="shared" si="5"/>
        <v>625.65568013816016</v>
      </c>
      <c r="F48" s="25">
        <f t="shared" si="6"/>
        <v>22.830113642923628</v>
      </c>
      <c r="G48">
        <f t="shared" si="7"/>
        <v>3.6488386710654628E-5</v>
      </c>
      <c r="H48">
        <f t="shared" si="8"/>
        <v>6.3615560888074274E-5</v>
      </c>
      <c r="I48" s="3">
        <f t="shared" si="9"/>
        <v>6.0382911200940492E-5</v>
      </c>
      <c r="J48" s="28">
        <f t="shared" si="10"/>
        <v>0.17169119407371045</v>
      </c>
      <c r="K48" s="24">
        <f t="shared" si="11"/>
        <v>15.81406129823346</v>
      </c>
      <c r="L48" s="24">
        <f t="shared" si="12"/>
        <v>10.621446726597114</v>
      </c>
      <c r="M48" s="39">
        <f t="shared" si="13"/>
        <v>319.96511604767636</v>
      </c>
      <c r="N48" s="40">
        <f t="shared" si="14"/>
        <v>212.56973913005598</v>
      </c>
      <c r="O48" s="32">
        <f t="shared" si="15"/>
        <v>606.88064807420983</v>
      </c>
      <c r="P48" s="32">
        <f t="shared" si="16"/>
        <v>10.688687405047096</v>
      </c>
      <c r="Q48" s="33">
        <f t="shared" si="17"/>
        <v>21.598993312224984</v>
      </c>
      <c r="R48" s="33">
        <f t="shared" si="18"/>
        <v>15.152456314069909</v>
      </c>
      <c r="S48" s="39">
        <f t="shared" si="19"/>
        <v>470.5806879355747</v>
      </c>
      <c r="T48" s="36">
        <f t="shared" si="20"/>
        <v>601.7950596933731</v>
      </c>
      <c r="U48" s="36">
        <f t="shared" si="21"/>
        <v>8.993516850987934</v>
      </c>
      <c r="V48" s="37">
        <f t="shared" si="22"/>
        <v>25.455032885585663</v>
      </c>
      <c r="W48" s="40">
        <f t="shared" si="23"/>
        <v>560.7681397930512</v>
      </c>
      <c r="X48" s="32">
        <f t="shared" si="24"/>
        <v>613.44270348151531</v>
      </c>
      <c r="Y48" s="32">
        <f t="shared" si="25"/>
        <v>13.501299614736034</v>
      </c>
      <c r="Z48" s="33">
        <f t="shared" si="26"/>
        <v>17.284349010356696</v>
      </c>
      <c r="AA48" s="33">
        <f t="shared" si="27"/>
        <v>11.162418365885376</v>
      </c>
      <c r="AB48" s="39">
        <f t="shared" si="28"/>
        <v>342.95618497257664</v>
      </c>
      <c r="AC48" s="36">
        <f t="shared" si="29"/>
        <v>629.98433000270325</v>
      </c>
      <c r="AD48" s="36">
        <f t="shared" si="30"/>
        <v>15.428705286765705</v>
      </c>
      <c r="AE48" s="37">
        <f t="shared" si="31"/>
        <v>15.532982777352844</v>
      </c>
      <c r="AF48" s="40">
        <f t="shared" si="32"/>
        <v>418.44925721988221</v>
      </c>
      <c r="AG48" s="32">
        <f t="shared" si="33"/>
        <v>607.27116371440559</v>
      </c>
      <c r="AH48" s="32">
        <f t="shared" si="34"/>
        <v>11.085161918313279</v>
      </c>
      <c r="AI48" s="33">
        <f t="shared" si="35"/>
        <v>20.839880053095445</v>
      </c>
      <c r="AJ48" s="33">
        <f t="shared" si="36"/>
        <v>14.119168681245327</v>
      </c>
      <c r="AK48" s="39">
        <f t="shared" si="37"/>
        <v>438.20851926097868</v>
      </c>
      <c r="AL48" s="36">
        <f t="shared" si="38"/>
        <v>609.43927167693971</v>
      </c>
      <c r="AM48" s="36">
        <f t="shared" si="39"/>
        <v>12.470289251619402</v>
      </c>
      <c r="AN48" s="37">
        <f t="shared" si="40"/>
        <v>18.591246369149829</v>
      </c>
      <c r="AO48" s="40">
        <f t="shared" si="41"/>
        <v>473.22636739211805</v>
      </c>
      <c r="AP48" s="32">
        <f t="shared" si="42"/>
        <v>610.61154265665937</v>
      </c>
      <c r="AQ48" s="32">
        <f t="shared" si="43"/>
        <v>12.853906770295286</v>
      </c>
      <c r="AR48" s="33">
        <f t="shared" si="44"/>
        <v>18.071094669473307</v>
      </c>
      <c r="AS48" s="33">
        <f t="shared" si="45"/>
        <v>11.589797918253293</v>
      </c>
      <c r="AT48" s="39">
        <f t="shared" si="46"/>
        <v>357.73810550376783</v>
      </c>
      <c r="AU48" s="36">
        <f t="shared" si="47"/>
        <v>613.73275346308196</v>
      </c>
      <c r="AV48" s="36">
        <f t="shared" si="48"/>
        <v>13.555246709496167</v>
      </c>
      <c r="AW48" s="37">
        <f t="shared" si="49"/>
        <v>17.223700772875034</v>
      </c>
      <c r="AX48" s="40">
        <f t="shared" si="50"/>
        <v>452.302567276834</v>
      </c>
      <c r="AY48" s="24">
        <f t="shared" si="51"/>
        <v>19.324659981264226</v>
      </c>
      <c r="AZ48" s="2">
        <f t="shared" si="52"/>
        <v>402.3708744182245</v>
      </c>
      <c r="BA48" s="2">
        <f t="shared" si="53"/>
        <v>476.18658292047138</v>
      </c>
      <c r="BB48" s="44">
        <f t="shared" si="54"/>
        <v>476.18658292047138</v>
      </c>
    </row>
    <row r="49" spans="1:54" x14ac:dyDescent="0.25">
      <c r="A49">
        <f t="shared" si="3"/>
        <v>174</v>
      </c>
      <c r="B49">
        <v>2.9</v>
      </c>
      <c r="C49" s="2">
        <f t="shared" si="55"/>
        <v>547.6145703585421</v>
      </c>
      <c r="D49" s="2">
        <f t="shared" si="4"/>
        <v>15.136250318813355</v>
      </c>
      <c r="E49" s="2">
        <f t="shared" si="5"/>
        <v>626.58888319305026</v>
      </c>
      <c r="F49" s="25">
        <f t="shared" si="6"/>
        <v>23.546350427326022</v>
      </c>
      <c r="G49">
        <f t="shared" si="7"/>
        <v>3.5929146208308184E-5</v>
      </c>
      <c r="H49">
        <f t="shared" si="8"/>
        <v>6.2640554826276837E-5</v>
      </c>
      <c r="I49" s="3">
        <f t="shared" si="9"/>
        <v>5.9895408170041774E-5</v>
      </c>
      <c r="J49" s="28">
        <f t="shared" si="10"/>
        <v>0.16958280291848749</v>
      </c>
      <c r="K49" s="24">
        <f t="shared" si="11"/>
        <v>16.178506545788881</v>
      </c>
      <c r="L49" s="24">
        <f t="shared" si="12"/>
        <v>10.72825912144619</v>
      </c>
      <c r="M49" s="39">
        <f t="shared" si="13"/>
        <v>321.33292308958647</v>
      </c>
      <c r="N49" s="40">
        <f t="shared" si="14"/>
        <v>213.77452896876954</v>
      </c>
      <c r="O49" s="32">
        <f t="shared" si="15"/>
        <v>606.90526889372927</v>
      </c>
      <c r="P49" s="32">
        <f t="shared" si="16"/>
        <v>10.711943596306279</v>
      </c>
      <c r="Q49" s="33">
        <f t="shared" si="17"/>
        <v>22.142501129105494</v>
      </c>
      <c r="R49" s="33">
        <f t="shared" si="18"/>
        <v>15.997291919705219</v>
      </c>
      <c r="S49" s="39">
        <f t="shared" si="19"/>
        <v>494.69123740990091</v>
      </c>
      <c r="T49" s="36">
        <f t="shared" si="20"/>
        <v>601.91017053976714</v>
      </c>
      <c r="U49" s="36">
        <f t="shared" si="21"/>
        <v>9.0111008259144931</v>
      </c>
      <c r="V49" s="37">
        <f t="shared" si="22"/>
        <v>26.105251253799356</v>
      </c>
      <c r="W49" s="40">
        <f t="shared" si="23"/>
        <v>565.36859649997348</v>
      </c>
      <c r="X49" s="32">
        <f t="shared" si="24"/>
        <v>616.46369063234567</v>
      </c>
      <c r="Y49" s="32">
        <f t="shared" si="25"/>
        <v>13.998725459510784</v>
      </c>
      <c r="Z49" s="33">
        <f t="shared" si="26"/>
        <v>17.210482677653435</v>
      </c>
      <c r="AA49" s="33">
        <f t="shared" si="27"/>
        <v>11.127697258341072</v>
      </c>
      <c r="AB49" s="39">
        <f t="shared" si="28"/>
        <v>338.77117879089803</v>
      </c>
      <c r="AC49" s="36">
        <f t="shared" si="29"/>
        <v>631.26435375420829</v>
      </c>
      <c r="AD49" s="36">
        <f t="shared" si="30"/>
        <v>15.53190609660326</v>
      </c>
      <c r="AE49" s="37">
        <f t="shared" si="31"/>
        <v>15.884024743796592</v>
      </c>
      <c r="AF49" s="40">
        <f t="shared" si="32"/>
        <v>420.50235851019028</v>
      </c>
      <c r="AG49" s="32">
        <f t="shared" si="33"/>
        <v>607.20142543001475</v>
      </c>
      <c r="AH49" s="32">
        <f t="shared" si="34"/>
        <v>11.012111185415614</v>
      </c>
      <c r="AI49" s="33">
        <f t="shared" si="35"/>
        <v>21.549452448216929</v>
      </c>
      <c r="AJ49" s="33">
        <f t="shared" si="36"/>
        <v>15.079917580954927</v>
      </c>
      <c r="AK49" s="39">
        <f t="shared" si="37"/>
        <v>466.09542609248308</v>
      </c>
      <c r="AL49" s="36">
        <f t="shared" si="38"/>
        <v>609.54457538102349</v>
      </c>
      <c r="AM49" s="36">
        <f t="shared" si="39"/>
        <v>12.509742175911555</v>
      </c>
      <c r="AN49" s="37">
        <f t="shared" si="40"/>
        <v>19.042815358660761</v>
      </c>
      <c r="AO49" s="40">
        <f t="shared" si="41"/>
        <v>476.82556539593401</v>
      </c>
      <c r="AP49" s="32">
        <f t="shared" si="42"/>
        <v>612.97275626583951</v>
      </c>
      <c r="AQ49" s="32">
        <f t="shared" si="43"/>
        <v>13.410200481940718</v>
      </c>
      <c r="AR49" s="33">
        <f t="shared" si="44"/>
        <v>17.86405087509544</v>
      </c>
      <c r="AS49" s="33">
        <f t="shared" si="45"/>
        <v>11.466708544655788</v>
      </c>
      <c r="AT49" s="39">
        <f t="shared" si="46"/>
        <v>351.08013522412955</v>
      </c>
      <c r="AU49" s="36">
        <f t="shared" si="47"/>
        <v>614.14305661832293</v>
      </c>
      <c r="AV49" s="36">
        <f t="shared" si="48"/>
        <v>13.628888394117777</v>
      </c>
      <c r="AW49" s="37">
        <f t="shared" si="49"/>
        <v>17.610965077757211</v>
      </c>
      <c r="AX49" s="40">
        <f t="shared" si="50"/>
        <v>455.11532178971856</v>
      </c>
      <c r="AY49" s="24">
        <f t="shared" si="51"/>
        <v>19.67619294551065</v>
      </c>
      <c r="AZ49" s="2">
        <f t="shared" si="52"/>
        <v>412.65949437935291</v>
      </c>
      <c r="BA49" s="2">
        <f t="shared" si="53"/>
        <v>479.45296054895414</v>
      </c>
      <c r="BB49" s="44">
        <f t="shared" si="54"/>
        <v>479.45296054895414</v>
      </c>
    </row>
    <row r="50" spans="1:54" x14ac:dyDescent="0.25">
      <c r="A50">
        <f t="shared" si="3"/>
        <v>180</v>
      </c>
      <c r="B50">
        <v>3</v>
      </c>
      <c r="C50" s="2">
        <f t="shared" si="55"/>
        <v>551.37090463129721</v>
      </c>
      <c r="D50" s="2">
        <f t="shared" si="4"/>
        <v>15.219372877587412</v>
      </c>
      <c r="E50" s="2">
        <f t="shared" si="5"/>
        <v>627.51942109334527</v>
      </c>
      <c r="F50" s="25">
        <f t="shared" si="6"/>
        <v>24.261234170718488</v>
      </c>
      <c r="G50">
        <f t="shared" si="7"/>
        <v>3.5395842486856336E-5</v>
      </c>
      <c r="H50">
        <f t="shared" si="8"/>
        <v>6.1710768162018807E-5</v>
      </c>
      <c r="I50" s="3">
        <f t="shared" si="9"/>
        <v>5.9430514837912758E-5</v>
      </c>
      <c r="J50" s="28">
        <f t="shared" si="10"/>
        <v>0.167566074023486</v>
      </c>
      <c r="K50" s="24">
        <f t="shared" si="11"/>
        <v>16.540311307352546</v>
      </c>
      <c r="L50" s="24">
        <f t="shared" si="12"/>
        <v>10.85105343380808</v>
      </c>
      <c r="M50" s="39">
        <f t="shared" si="13"/>
        <v>323.17793980088737</v>
      </c>
      <c r="N50" s="40">
        <f t="shared" si="14"/>
        <v>214.93266276830281</v>
      </c>
      <c r="O50" s="32">
        <f t="shared" si="15"/>
        <v>606.93800094983362</v>
      </c>
      <c r="P50" s="32">
        <f t="shared" si="16"/>
        <v>10.74337995351291</v>
      </c>
      <c r="Q50" s="33">
        <f t="shared" si="17"/>
        <v>22.662961440789111</v>
      </c>
      <c r="R50" s="33">
        <f t="shared" si="18"/>
        <v>16.893768320413059</v>
      </c>
      <c r="S50" s="39">
        <f t="shared" si="19"/>
        <v>520.21058099110235</v>
      </c>
      <c r="T50" s="36">
        <f t="shared" si="20"/>
        <v>602.01909026994895</v>
      </c>
      <c r="U50" s="36">
        <f t="shared" si="21"/>
        <v>9.0280345030610718</v>
      </c>
      <c r="V50" s="37">
        <f t="shared" si="22"/>
        <v>26.750402331518664</v>
      </c>
      <c r="W50" s="40">
        <f t="shared" si="23"/>
        <v>569.82650017834067</v>
      </c>
      <c r="X50" s="32">
        <f t="shared" si="24"/>
        <v>620.68730071167386</v>
      </c>
      <c r="Y50" s="32">
        <f t="shared" si="25"/>
        <v>14.539401249373748</v>
      </c>
      <c r="Z50" s="33">
        <f t="shared" si="26"/>
        <v>17.12535579101695</v>
      </c>
      <c r="AA50" s="33">
        <f t="shared" si="27"/>
        <v>11.088766378547355</v>
      </c>
      <c r="AB50" s="39">
        <f t="shared" si="28"/>
        <v>333.89302845360197</v>
      </c>
      <c r="AC50" s="36">
        <f t="shared" si="29"/>
        <v>632.55196381911992</v>
      </c>
      <c r="AD50" s="36">
        <f t="shared" si="30"/>
        <v>15.632361323172868</v>
      </c>
      <c r="AE50" s="37">
        <f t="shared" si="31"/>
        <v>16.232480470272431</v>
      </c>
      <c r="AF50" s="40">
        <f t="shared" si="32"/>
        <v>422.45843189283852</v>
      </c>
      <c r="AG50" s="32">
        <f t="shared" si="33"/>
        <v>607.12043339775619</v>
      </c>
      <c r="AH50" s="32">
        <f t="shared" si="34"/>
        <v>10.927456549253453</v>
      </c>
      <c r="AI50" s="33">
        <f t="shared" si="35"/>
        <v>22.28789365567372</v>
      </c>
      <c r="AJ50" s="33">
        <f t="shared" si="36"/>
        <v>16.238914543765191</v>
      </c>
      <c r="AK50" s="39">
        <f t="shared" si="37"/>
        <v>499.89538092965586</v>
      </c>
      <c r="AL50" s="36">
        <f t="shared" si="38"/>
        <v>609.64825124126855</v>
      </c>
      <c r="AM50" s="36">
        <f t="shared" si="39"/>
        <v>12.547418419974063</v>
      </c>
      <c r="AN50" s="37">
        <f t="shared" si="40"/>
        <v>19.491183807138274</v>
      </c>
      <c r="AO50" s="40">
        <f t="shared" si="41"/>
        <v>480.31651850290143</v>
      </c>
      <c r="AP50" s="32">
        <f t="shared" si="42"/>
        <v>617.23405472901459</v>
      </c>
      <c r="AQ50" s="32">
        <f t="shared" si="43"/>
        <v>14.107801029727046</v>
      </c>
      <c r="AR50" s="33">
        <f t="shared" si="44"/>
        <v>17.551078910349894</v>
      </c>
      <c r="AS50" s="33">
        <f t="shared" si="45"/>
        <v>11.295270698863305</v>
      </c>
      <c r="AT50" s="39">
        <f t="shared" si="46"/>
        <v>342.01388786738585</v>
      </c>
      <c r="AU50" s="36">
        <f t="shared" si="47"/>
        <v>614.55874027862205</v>
      </c>
      <c r="AV50" s="36">
        <f t="shared" si="48"/>
        <v>13.700592540702072</v>
      </c>
      <c r="AW50" s="37">
        <f t="shared" si="49"/>
        <v>17.994397688614537</v>
      </c>
      <c r="AX50" s="40">
        <f t="shared" si="50"/>
        <v>457.818147952196</v>
      </c>
      <c r="AY50" s="24">
        <f t="shared" si="51"/>
        <v>20.011969261921696</v>
      </c>
      <c r="AZ50" s="2">
        <f t="shared" si="52"/>
        <v>424.00321956043649</v>
      </c>
      <c r="BA50" s="2">
        <f t="shared" si="53"/>
        <v>482.60489963156914</v>
      </c>
      <c r="BB50" s="44">
        <f t="shared" si="54"/>
        <v>482.60489963156914</v>
      </c>
    </row>
    <row r="51" spans="1:54" x14ac:dyDescent="0.25">
      <c r="A51">
        <f t="shared" si="3"/>
        <v>186</v>
      </c>
      <c r="B51">
        <v>3.1</v>
      </c>
      <c r="C51" s="2">
        <f t="shared" si="55"/>
        <v>554.9956345763045</v>
      </c>
      <c r="D51" s="2">
        <f t="shared" si="4"/>
        <v>15.299882860805367</v>
      </c>
      <c r="E51" s="2">
        <f t="shared" si="5"/>
        <v>628.44674183627296</v>
      </c>
      <c r="F51" s="25">
        <f t="shared" si="6"/>
        <v>24.974872980993808</v>
      </c>
      <c r="G51">
        <f t="shared" si="7"/>
        <v>3.4886472180862163E-5</v>
      </c>
      <c r="H51">
        <f t="shared" si="8"/>
        <v>6.0822708134248723E-5</v>
      </c>
      <c r="I51" s="3">
        <f t="shared" si="9"/>
        <v>5.898648482402772E-5</v>
      </c>
      <c r="J51" s="28">
        <f t="shared" si="10"/>
        <v>0.16563416975160342</v>
      </c>
      <c r="K51" s="24">
        <f t="shared" si="11"/>
        <v>16.899626300905783</v>
      </c>
      <c r="L51" s="24">
        <f t="shared" si="12"/>
        <v>10.991008021251488</v>
      </c>
      <c r="M51" s="39">
        <f t="shared" si="13"/>
        <v>325.52686835856571</v>
      </c>
      <c r="N51" s="40">
        <f t="shared" si="14"/>
        <v>216.04719869265602</v>
      </c>
      <c r="O51" s="32">
        <f t="shared" si="15"/>
        <v>606.97897104025265</v>
      </c>
      <c r="P51" s="32">
        <f t="shared" si="16"/>
        <v>10.783512557942467</v>
      </c>
      <c r="Q51" s="33">
        <f t="shared" si="17"/>
        <v>23.158483917734117</v>
      </c>
      <c r="R51" s="33">
        <f t="shared" si="18"/>
        <v>17.83094709801852</v>
      </c>
      <c r="S51" s="39">
        <f t="shared" si="19"/>
        <v>546.78747876063312</v>
      </c>
      <c r="T51" s="36">
        <f t="shared" si="20"/>
        <v>602.12232035967793</v>
      </c>
      <c r="U51" s="36">
        <f t="shared" si="21"/>
        <v>9.0443590822668547</v>
      </c>
      <c r="V51" s="37">
        <f t="shared" si="22"/>
        <v>27.390733224275973</v>
      </c>
      <c r="W51" s="40">
        <f t="shared" si="23"/>
        <v>574.1503924825613</v>
      </c>
      <c r="X51" s="32">
        <f t="shared" si="24"/>
        <v>626.38810230849845</v>
      </c>
      <c r="Y51" s="32">
        <f t="shared" si="25"/>
        <v>15.117990367038809</v>
      </c>
      <c r="Z51" s="33">
        <f t="shared" si="26"/>
        <v>17.046929451021491</v>
      </c>
      <c r="AA51" s="33">
        <f t="shared" si="27"/>
        <v>11.053910437931751</v>
      </c>
      <c r="AB51" s="39">
        <f t="shared" si="28"/>
        <v>328.46585933492639</v>
      </c>
      <c r="AC51" s="36">
        <f t="shared" si="29"/>
        <v>633.84616568212755</v>
      </c>
      <c r="AD51" s="36">
        <f t="shared" si="30"/>
        <v>15.730221993883001</v>
      </c>
      <c r="AE51" s="37">
        <f t="shared" si="31"/>
        <v>16.578519476713694</v>
      </c>
      <c r="AF51" s="40">
        <f t="shared" si="32"/>
        <v>424.32397225509681</v>
      </c>
      <c r="AG51" s="32">
        <f t="shared" si="33"/>
        <v>607.02931549835375</v>
      </c>
      <c r="AH51" s="32">
        <f t="shared" si="34"/>
        <v>10.833900731053653</v>
      </c>
      <c r="AI51" s="33">
        <f t="shared" si="35"/>
        <v>23.052686341416749</v>
      </c>
      <c r="AJ51" s="33">
        <f t="shared" si="36"/>
        <v>17.62380346813692</v>
      </c>
      <c r="AK51" s="39">
        <f t="shared" si="37"/>
        <v>540.39058064829237</v>
      </c>
      <c r="AL51" s="36">
        <f t="shared" si="38"/>
        <v>609.75024461036026</v>
      </c>
      <c r="AM51" s="36">
        <f t="shared" si="39"/>
        <v>12.583430741964905</v>
      </c>
      <c r="AN51" s="37">
        <f t="shared" si="40"/>
        <v>19.936533558030785</v>
      </c>
      <c r="AO51" s="40">
        <f t="shared" si="41"/>
        <v>483.70592192855958</v>
      </c>
      <c r="AP51" s="32">
        <f t="shared" si="42"/>
        <v>624.88445900990405</v>
      </c>
      <c r="AQ51" s="32">
        <f t="shared" si="43"/>
        <v>14.977281674084296</v>
      </c>
      <c r="AR51" s="33">
        <f t="shared" si="44"/>
        <v>17.165776524756062</v>
      </c>
      <c r="AS51" s="33">
        <f t="shared" si="45"/>
        <v>11.107108393466138</v>
      </c>
      <c r="AT51" s="39">
        <f t="shared" si="46"/>
        <v>330.84081400688501</v>
      </c>
      <c r="AU51" s="36">
        <f t="shared" si="47"/>
        <v>614.97944556379628</v>
      </c>
      <c r="AV51" s="36">
        <f t="shared" si="48"/>
        <v>13.770472045116543</v>
      </c>
      <c r="AW51" s="37">
        <f t="shared" si="49"/>
        <v>18.374202598688228</v>
      </c>
      <c r="AX51" s="40">
        <f t="shared" si="50"/>
        <v>460.41791448157414</v>
      </c>
      <c r="AY51" s="24">
        <f t="shared" si="51"/>
        <v>20.337983136579638</v>
      </c>
      <c r="AZ51" s="2">
        <f t="shared" si="52"/>
        <v>436.62118318768421</v>
      </c>
      <c r="BA51" s="2">
        <f t="shared" si="53"/>
        <v>485.64955028694794</v>
      </c>
      <c r="BB51" s="44">
        <f t="shared" si="54"/>
        <v>485.64955028694794</v>
      </c>
    </row>
    <row r="52" spans="1:54" x14ac:dyDescent="0.25">
      <c r="A52">
        <f t="shared" si="3"/>
        <v>192</v>
      </c>
      <c r="B52">
        <v>3.2</v>
      </c>
      <c r="C52" s="2">
        <f t="shared" si="55"/>
        <v>558.49698282999009</v>
      </c>
      <c r="D52" s="2">
        <f t="shared" si="4"/>
        <v>15.377931825488769</v>
      </c>
      <c r="E52" s="2">
        <f t="shared" si="5"/>
        <v>629.37036568836584</v>
      </c>
      <c r="F52" s="25">
        <f t="shared" si="6"/>
        <v>25.687365083764671</v>
      </c>
      <c r="G52">
        <f t="shared" si="7"/>
        <v>3.4399245699357256E-5</v>
      </c>
      <c r="H52">
        <f t="shared" si="8"/>
        <v>5.9973254686327248E-5</v>
      </c>
      <c r="I52" s="3">
        <f t="shared" si="9"/>
        <v>5.8561758100066979E-5</v>
      </c>
      <c r="J52" s="28">
        <f t="shared" si="10"/>
        <v>0.16378096554530919</v>
      </c>
      <c r="K52" s="24">
        <f t="shared" si="11"/>
        <v>17.256589235091987</v>
      </c>
      <c r="L52" s="24">
        <f t="shared" si="12"/>
        <v>11.149266467201489</v>
      </c>
      <c r="M52" s="39">
        <f t="shared" si="13"/>
        <v>328.40495509003836</v>
      </c>
      <c r="N52" s="40">
        <f t="shared" si="14"/>
        <v>217.12091492237144</v>
      </c>
      <c r="O52" s="32">
        <f t="shared" si="15"/>
        <v>607.02828100002307</v>
      </c>
      <c r="P52" s="32">
        <f t="shared" si="16"/>
        <v>10.832854581694306</v>
      </c>
      <c r="Q52" s="33">
        <f t="shared" si="17"/>
        <v>23.627219418752013</v>
      </c>
      <c r="R52" s="33">
        <f t="shared" si="18"/>
        <v>18.796106180126067</v>
      </c>
      <c r="S52" s="39">
        <f t="shared" si="19"/>
        <v>574.02216295107098</v>
      </c>
      <c r="T52" s="36">
        <f t="shared" si="20"/>
        <v>602.22030882976208</v>
      </c>
      <c r="U52" s="36">
        <f t="shared" si="21"/>
        <v>9.060112091541038</v>
      </c>
      <c r="V52" s="37">
        <f t="shared" si="22"/>
        <v>28.026471834410877</v>
      </c>
      <c r="W52" s="40">
        <f t="shared" si="23"/>
        <v>578.34805936480188</v>
      </c>
      <c r="X52" s="32">
        <f t="shared" si="24"/>
        <v>633.80713498312923</v>
      </c>
      <c r="Y52" s="32">
        <f t="shared" si="25"/>
        <v>15.727313808040607</v>
      </c>
      <c r="Z52" s="33">
        <f t="shared" si="26"/>
        <v>16.992182907574328</v>
      </c>
      <c r="AA52" s="33">
        <f t="shared" si="27"/>
        <v>11.030144818288175</v>
      </c>
      <c r="AB52" s="39">
        <f t="shared" si="28"/>
        <v>322.62185702172513</v>
      </c>
      <c r="AC52" s="36">
        <f t="shared" si="29"/>
        <v>635.14605414251719</v>
      </c>
      <c r="AD52" s="36">
        <f t="shared" si="30"/>
        <v>15.825626493997918</v>
      </c>
      <c r="AE52" s="37">
        <f t="shared" si="31"/>
        <v>16.922296320091544</v>
      </c>
      <c r="AF52" s="40">
        <f t="shared" si="32"/>
        <v>426.10488066570741</v>
      </c>
      <c r="AG52" s="32">
        <f t="shared" si="33"/>
        <v>606.92819022023559</v>
      </c>
      <c r="AH52" s="32">
        <f t="shared" si="34"/>
        <v>10.733897097388581</v>
      </c>
      <c r="AI52" s="33">
        <f t="shared" si="35"/>
        <v>23.841110741851534</v>
      </c>
      <c r="AJ52" s="33">
        <f t="shared" si="36"/>
        <v>19.262834446029252</v>
      </c>
      <c r="AK52" s="39">
        <f t="shared" si="37"/>
        <v>588.37278778166115</v>
      </c>
      <c r="AL52" s="36">
        <f t="shared" si="38"/>
        <v>609.85051141505949</v>
      </c>
      <c r="AM52" s="36">
        <f t="shared" si="39"/>
        <v>12.617882064601179</v>
      </c>
      <c r="AN52" s="37">
        <f t="shared" si="40"/>
        <v>20.379031060495311</v>
      </c>
      <c r="AO52" s="40">
        <f t="shared" si="41"/>
        <v>486.99986246382321</v>
      </c>
      <c r="AP52" s="32">
        <f t="shared" si="42"/>
        <v>638.42818065101301</v>
      </c>
      <c r="AQ52" s="32">
        <f t="shared" si="43"/>
        <v>16.055065194917908</v>
      </c>
      <c r="AR52" s="33">
        <f t="shared" si="44"/>
        <v>16.766660790513214</v>
      </c>
      <c r="AS52" s="33">
        <f t="shared" si="45"/>
        <v>10.937032757127422</v>
      </c>
      <c r="AT52" s="39">
        <f t="shared" si="46"/>
        <v>317.58293655797695</v>
      </c>
      <c r="AU52" s="36">
        <f t="shared" si="47"/>
        <v>615.40484002241828</v>
      </c>
      <c r="AV52" s="36">
        <f t="shared" si="48"/>
        <v>13.83862994904031</v>
      </c>
      <c r="AW52" s="37">
        <f t="shared" si="49"/>
        <v>18.750567393993965</v>
      </c>
      <c r="AX52" s="40">
        <f t="shared" si="50"/>
        <v>462.92087438622622</v>
      </c>
      <c r="AY52" s="24">
        <f t="shared" si="51"/>
        <v>20.663192558460349</v>
      </c>
      <c r="AZ52" s="2">
        <f t="shared" si="52"/>
        <v>450.64993607810857</v>
      </c>
      <c r="BA52" s="2">
        <f t="shared" si="53"/>
        <v>488.59341922013971</v>
      </c>
      <c r="BB52" s="44">
        <f t="shared" si="54"/>
        <v>488.59341922013971</v>
      </c>
    </row>
    <row r="53" spans="1:54" x14ac:dyDescent="0.25">
      <c r="A53">
        <f t="shared" si="3"/>
        <v>198</v>
      </c>
      <c r="B53">
        <v>3.3</v>
      </c>
      <c r="C53" s="2">
        <f t="shared" si="55"/>
        <v>561.88243210316057</v>
      </c>
      <c r="D53" s="2">
        <f t="shared" si="4"/>
        <v>15.453658399322061</v>
      </c>
      <c r="E53" s="2">
        <f t="shared" si="5"/>
        <v>630.28987632474559</v>
      </c>
      <c r="F53" s="25">
        <f t="shared" si="6"/>
        <v>26.398799925587838</v>
      </c>
      <c r="G53">
        <f t="shared" si="7"/>
        <v>3.3932558490918286E-5</v>
      </c>
      <c r="H53">
        <f t="shared" si="8"/>
        <v>5.9159610368216975E-5</v>
      </c>
      <c r="I53" s="3">
        <f t="shared" si="9"/>
        <v>5.8154935941011839E-5</v>
      </c>
      <c r="J53" s="28">
        <f t="shared" si="10"/>
        <v>0.16200095568646727</v>
      </c>
      <c r="K53" s="24">
        <f t="shared" si="11"/>
        <v>17.611326281341785</v>
      </c>
      <c r="L53" s="24">
        <f t="shared" si="12"/>
        <v>11.32694112660678</v>
      </c>
      <c r="M53" s="39">
        <f t="shared" si="13"/>
        <v>331.83613918631386</v>
      </c>
      <c r="N53" s="40">
        <f t="shared" si="14"/>
        <v>218.15634248222219</v>
      </c>
      <c r="O53" s="32">
        <f t="shared" si="15"/>
        <v>607.08610730459714</v>
      </c>
      <c r="P53" s="32">
        <f t="shared" si="16"/>
        <v>10.891921387434484</v>
      </c>
      <c r="Q53" s="33">
        <f t="shared" si="17"/>
        <v>24.067381158633214</v>
      </c>
      <c r="R53" s="33">
        <f t="shared" si="18"/>
        <v>19.774999406296793</v>
      </c>
      <c r="S53" s="39">
        <f t="shared" si="19"/>
        <v>601.47496403168554</v>
      </c>
      <c r="T53" s="36">
        <f t="shared" si="20"/>
        <v>602.31345726083134</v>
      </c>
      <c r="U53" s="36">
        <f t="shared" si="21"/>
        <v>9.075327808545893</v>
      </c>
      <c r="V53" s="37">
        <f t="shared" si="22"/>
        <v>28.657828882107694</v>
      </c>
      <c r="W53" s="40">
        <f t="shared" si="23"/>
        <v>582.426618793682</v>
      </c>
      <c r="X53" s="32">
        <f t="shared" si="24"/>
        <v>643.10985474948779</v>
      </c>
      <c r="Y53" s="32">
        <f t="shared" si="25"/>
        <v>16.358332029188631</v>
      </c>
      <c r="Z53" s="33">
        <f t="shared" si="26"/>
        <v>16.975758385327779</v>
      </c>
      <c r="AA53" s="33">
        <f t="shared" si="27"/>
        <v>11.023104721598024</v>
      </c>
      <c r="AB53" s="39">
        <f t="shared" si="28"/>
        <v>316.49739436784171</v>
      </c>
      <c r="AC53" s="36">
        <f t="shared" si="29"/>
        <v>636.45080433091596</v>
      </c>
      <c r="AD53" s="36">
        <f t="shared" si="30"/>
        <v>15.918701978883698</v>
      </c>
      <c r="AE53" s="37">
        <f t="shared" si="31"/>
        <v>17.263952290137389</v>
      </c>
      <c r="AF53" s="40">
        <f t="shared" si="32"/>
        <v>427.80653393527405</v>
      </c>
      <c r="AG53" s="32">
        <f t="shared" si="33"/>
        <v>606.81668281370867</v>
      </c>
      <c r="AH53" s="32">
        <f t="shared" si="34"/>
        <v>10.629915139878499</v>
      </c>
      <c r="AI53" s="33">
        <f t="shared" si="35"/>
        <v>24.649649835444148</v>
      </c>
      <c r="AJ53" s="33">
        <f t="shared" si="36"/>
        <v>21.182598462412749</v>
      </c>
      <c r="AK53" s="39">
        <f t="shared" si="37"/>
        <v>644.5744577954689</v>
      </c>
      <c r="AL53" s="36">
        <f t="shared" si="38"/>
        <v>609.94901709981593</v>
      </c>
      <c r="AM53" s="36">
        <f t="shared" si="39"/>
        <v>12.650866584594775</v>
      </c>
      <c r="AN53" s="37">
        <f t="shared" si="40"/>
        <v>20.818829082814492</v>
      </c>
      <c r="AO53" s="40">
        <f t="shared" si="41"/>
        <v>490.20389025847521</v>
      </c>
      <c r="AP53" s="32">
        <f t="shared" si="42"/>
        <v>661.91797105762373</v>
      </c>
      <c r="AQ53" s="32">
        <f t="shared" si="43"/>
        <v>17.383054969945519</v>
      </c>
      <c r="AR53" s="33">
        <f t="shared" si="44"/>
        <v>16.442244745917119</v>
      </c>
      <c r="AS53" s="33">
        <f t="shared" si="45"/>
        <v>10.816035326324723</v>
      </c>
      <c r="AT53" s="39">
        <f t="shared" si="46"/>
        <v>301.72777828789668</v>
      </c>
      <c r="AU53" s="36">
        <f t="shared" si="47"/>
        <v>615.83461548667628</v>
      </c>
      <c r="AV53" s="36">
        <f t="shared" si="48"/>
        <v>13.905160567413112</v>
      </c>
      <c r="AW53" s="37">
        <f t="shared" si="49"/>
        <v>19.12366503205142</v>
      </c>
      <c r="AX53" s="40">
        <f t="shared" si="50"/>
        <v>465.33273687432404</v>
      </c>
      <c r="AY53" s="24">
        <f t="shared" si="51"/>
        <v>20.999913676554158</v>
      </c>
      <c r="AZ53" s="2">
        <f t="shared" si="52"/>
        <v>466.06864862072325</v>
      </c>
      <c r="BA53" s="2">
        <f t="shared" si="53"/>
        <v>491.44244496543877</v>
      </c>
      <c r="BB53" s="44">
        <f t="shared" si="54"/>
        <v>491.44244496543877</v>
      </c>
    </row>
    <row r="54" spans="1:54" x14ac:dyDescent="0.25">
      <c r="A54">
        <f t="shared" si="3"/>
        <v>204</v>
      </c>
      <c r="B54">
        <v>3.4</v>
      </c>
      <c r="C54" s="2">
        <f t="shared" si="55"/>
        <v>565.15881171025455</v>
      </c>
      <c r="D54" s="2">
        <f t="shared" si="4"/>
        <v>15.527189734476666</v>
      </c>
      <c r="E54" s="2">
        <f t="shared" si="5"/>
        <v>631.20491314818582</v>
      </c>
      <c r="F54" s="25">
        <f t="shared" si="6"/>
        <v>27.109259130299268</v>
      </c>
      <c r="G54">
        <f t="shared" si="7"/>
        <v>3.3484966917479338E-5</v>
      </c>
      <c r="H54">
        <f t="shared" si="8"/>
        <v>5.8379258273757834E-5</v>
      </c>
      <c r="I54" s="3">
        <f t="shared" si="9"/>
        <v>5.7764759893782269E-5</v>
      </c>
      <c r="J54" s="28">
        <f t="shared" si="10"/>
        <v>0.16028917396940293</v>
      </c>
      <c r="K54" s="24">
        <f t="shared" si="11"/>
        <v>17.96395334223196</v>
      </c>
      <c r="L54" s="24">
        <f t="shared" si="12"/>
        <v>11.525116192866413</v>
      </c>
      <c r="M54" s="39">
        <f t="shared" si="13"/>
        <v>335.84318159056511</v>
      </c>
      <c r="N54" s="40">
        <f t="shared" si="14"/>
        <v>219.15579339563845</v>
      </c>
      <c r="O54" s="32">
        <f t="shared" si="15"/>
        <v>607.15284296438801</v>
      </c>
      <c r="P54" s="32">
        <f t="shared" si="16"/>
        <v>10.961235240573131</v>
      </c>
      <c r="Q54" s="33">
        <f t="shared" si="17"/>
        <v>24.477267961622527</v>
      </c>
      <c r="R54" s="33">
        <f t="shared" si="18"/>
        <v>20.752187112660849</v>
      </c>
      <c r="S54" s="39">
        <f t="shared" si="19"/>
        <v>628.67680204451779</v>
      </c>
      <c r="T54" s="36">
        <f t="shared" si="20"/>
        <v>602.40212672095277</v>
      </c>
      <c r="U54" s="36">
        <f t="shared" si="21"/>
        <v>9.0900376230685342</v>
      </c>
      <c r="V54" s="37">
        <f t="shared" si="22"/>
        <v>29.284999660223207</v>
      </c>
      <c r="W54" s="40">
        <f t="shared" si="23"/>
        <v>586.39259598021965</v>
      </c>
      <c r="X54" s="32">
        <f t="shared" si="24"/>
        <v>654.34222438677216</v>
      </c>
      <c r="Y54" s="32">
        <f t="shared" si="25"/>
        <v>17.000232836081089</v>
      </c>
      <c r="Z54" s="33">
        <f t="shared" si="26"/>
        <v>17.008831708987085</v>
      </c>
      <c r="AA54" s="33">
        <f t="shared" si="27"/>
        <v>11.037323253047219</v>
      </c>
      <c r="AB54" s="39">
        <f t="shared" si="28"/>
        <v>310.25615764513668</v>
      </c>
      <c r="AC54" s="36">
        <f t="shared" si="29"/>
        <v>637.75966375733879</v>
      </c>
      <c r="AD54" s="36">
        <f t="shared" si="30"/>
        <v>16.009565590674477</v>
      </c>
      <c r="AE54" s="37">
        <f t="shared" si="31"/>
        <v>17.603616870954333</v>
      </c>
      <c r="AF54" s="40">
        <f t="shared" si="32"/>
        <v>429.43384424781624</v>
      </c>
      <c r="AG54" s="32">
        <f t="shared" si="33"/>
        <v>606.69482468494084</v>
      </c>
      <c r="AH54" s="32">
        <f t="shared" si="34"/>
        <v>10.52481496167055</v>
      </c>
      <c r="AI54" s="33">
        <f t="shared" si="35"/>
        <v>25.473007809003747</v>
      </c>
      <c r="AJ54" s="33">
        <f t="shared" si="36"/>
        <v>23.403304249673653</v>
      </c>
      <c r="AK54" s="39">
        <f t="shared" si="37"/>
        <v>709.52627372769507</v>
      </c>
      <c r="AL54" s="36">
        <f t="shared" si="38"/>
        <v>610.04573562910241</v>
      </c>
      <c r="AM54" s="36">
        <f t="shared" si="39"/>
        <v>12.682470728270683</v>
      </c>
      <c r="AN54" s="37">
        <f t="shared" si="40"/>
        <v>21.256068191571622</v>
      </c>
      <c r="AO54" s="40">
        <f t="shared" si="41"/>
        <v>493.32308028660805</v>
      </c>
      <c r="AP54" s="32">
        <f t="shared" si="42"/>
        <v>701.58968739404816</v>
      </c>
      <c r="AQ54" s="32">
        <f t="shared" si="43"/>
        <v>19.005936378836935</v>
      </c>
      <c r="AR54" s="33">
        <f t="shared" si="44"/>
        <v>16.312417687175547</v>
      </c>
      <c r="AS54" s="33">
        <f t="shared" si="45"/>
        <v>10.771681542587924</v>
      </c>
      <c r="AT54" s="39">
        <f t="shared" si="46"/>
        <v>282.39818570891305</v>
      </c>
      <c r="AU54" s="36">
        <f t="shared" si="47"/>
        <v>616.26848608522664</v>
      </c>
      <c r="AV54" s="36">
        <f t="shared" si="48"/>
        <v>13.970150457701324</v>
      </c>
      <c r="AW54" s="37">
        <f t="shared" si="49"/>
        <v>19.493655380449344</v>
      </c>
      <c r="AX54" s="40">
        <f t="shared" si="50"/>
        <v>467.65872898265803</v>
      </c>
      <c r="AY54" s="24">
        <f t="shared" si="51"/>
        <v>21.363733158748428</v>
      </c>
      <c r="AZ54" s="2">
        <f t="shared" si="52"/>
        <v>482.7143547815657</v>
      </c>
      <c r="BA54" s="2">
        <f t="shared" si="53"/>
        <v>494.20206237432546</v>
      </c>
      <c r="BB54" s="44">
        <f t="shared" si="54"/>
        <v>494.20206237432546</v>
      </c>
    </row>
    <row r="55" spans="1:54" x14ac:dyDescent="0.25">
      <c r="A55">
        <f t="shared" si="3"/>
        <v>210</v>
      </c>
      <c r="B55">
        <v>3.5</v>
      </c>
      <c r="C55" s="2">
        <f t="shared" si="55"/>
        <v>568.33237173047428</v>
      </c>
      <c r="D55" s="2">
        <f t="shared" si="4"/>
        <v>15.598642759669263</v>
      </c>
      <c r="E55" s="2">
        <f t="shared" si="5"/>
        <v>632.11516461504982</v>
      </c>
      <c r="F55" s="25">
        <f t="shared" si="6"/>
        <v>27.818817331195991</v>
      </c>
      <c r="G55">
        <f t="shared" si="7"/>
        <v>3.3055167885370829E-5</v>
      </c>
      <c r="H55">
        <f t="shared" si="8"/>
        <v>5.7629926528467203E-5</v>
      </c>
      <c r="I55" s="3">
        <f t="shared" si="9"/>
        <v>5.7390094021136957E-5</v>
      </c>
      <c r="J55" s="28">
        <f t="shared" si="10"/>
        <v>0.15864112656244203</v>
      </c>
      <c r="K55" s="24">
        <f t="shared" si="11"/>
        <v>18.314577149174369</v>
      </c>
      <c r="L55" s="24">
        <f t="shared" si="12"/>
        <v>11.744850363565533</v>
      </c>
      <c r="M55" s="39">
        <f t="shared" si="13"/>
        <v>340.44777723394196</v>
      </c>
      <c r="N55" s="40">
        <f t="shared" si="14"/>
        <v>220.12138494441575</v>
      </c>
      <c r="O55" s="32">
        <f t="shared" si="15"/>
        <v>607.22928864053529</v>
      </c>
      <c r="P55" s="32">
        <f t="shared" si="16"/>
        <v>11.041329689500866</v>
      </c>
      <c r="Q55" s="33">
        <f t="shared" si="17"/>
        <v>24.855289825714824</v>
      </c>
      <c r="R55" s="33">
        <f t="shared" si="18"/>
        <v>21.711433242104718</v>
      </c>
      <c r="S55" s="39">
        <f t="shared" si="19"/>
        <v>655.14134370202225</v>
      </c>
      <c r="T55" s="36">
        <f t="shared" si="20"/>
        <v>602.48664279942659</v>
      </c>
      <c r="U55" s="36">
        <f t="shared" si="21"/>
        <v>9.1042703501844571</v>
      </c>
      <c r="V55" s="37">
        <f t="shared" si="22"/>
        <v>29.908165564722818</v>
      </c>
      <c r="W55" s="40">
        <f t="shared" si="23"/>
        <v>590.25198820232129</v>
      </c>
      <c r="X55" s="32">
        <f t="shared" si="24"/>
        <v>667.39179591778361</v>
      </c>
      <c r="Y55" s="32">
        <f t="shared" si="25"/>
        <v>17.640642013704003</v>
      </c>
      <c r="Z55" s="33">
        <f t="shared" si="26"/>
        <v>17.098341055805029</v>
      </c>
      <c r="AA55" s="33">
        <f t="shared" si="27"/>
        <v>11.07665129764414</v>
      </c>
      <c r="AB55" s="39">
        <f t="shared" si="28"/>
        <v>304.10729949361041</v>
      </c>
      <c r="AC55" s="36">
        <f t="shared" si="29"/>
        <v>639.07194525872194</v>
      </c>
      <c r="AD55" s="36">
        <f t="shared" si="30"/>
        <v>16.09832551140688</v>
      </c>
      <c r="AE55" s="37">
        <f t="shared" si="31"/>
        <v>17.941409006459239</v>
      </c>
      <c r="AF55" s="40">
        <f t="shared" si="32"/>
        <v>430.99131052677819</v>
      </c>
      <c r="AG55" s="32">
        <f t="shared" si="33"/>
        <v>606.56423933086012</v>
      </c>
      <c r="AH55" s="32">
        <f t="shared" si="34"/>
        <v>10.422123676606574</v>
      </c>
      <c r="AI55" s="33">
        <f t="shared" si="35"/>
        <v>26.303169197190485</v>
      </c>
      <c r="AJ55" s="33">
        <f t="shared" si="36"/>
        <v>25.931673095715944</v>
      </c>
      <c r="AK55" s="39">
        <f t="shared" si="37"/>
        <v>783.34479132665342</v>
      </c>
      <c r="AL55" s="36">
        <f t="shared" si="38"/>
        <v>610.14064855856725</v>
      </c>
      <c r="AM55" s="36">
        <f t="shared" si="39"/>
        <v>12.712773978568368</v>
      </c>
      <c r="AN55" s="37">
        <f t="shared" si="40"/>
        <v>21.690878034303012</v>
      </c>
      <c r="AO55" s="40">
        <f t="shared" si="41"/>
        <v>496.36208523048026</v>
      </c>
      <c r="AP55" s="32">
        <f t="shared" si="42"/>
        <v>766.39674898414705</v>
      </c>
      <c r="AQ55" s="32">
        <f t="shared" si="43"/>
        <v>20.965091346332038</v>
      </c>
      <c r="AR55" s="33">
        <f t="shared" si="44"/>
        <v>16.521306702006761</v>
      </c>
      <c r="AS55" s="33">
        <f t="shared" si="45"/>
        <v>10.844163669396249</v>
      </c>
      <c r="AT55" s="39">
        <f t="shared" si="46"/>
        <v>259.26365200482593</v>
      </c>
      <c r="AU55" s="36">
        <f t="shared" si="47"/>
        <v>616.70618641242254</v>
      </c>
      <c r="AV55" s="36">
        <f t="shared" si="48"/>
        <v>14.033679257092043</v>
      </c>
      <c r="AW55" s="37">
        <f t="shared" si="49"/>
        <v>19.860686553702578</v>
      </c>
      <c r="AX55" s="40">
        <f t="shared" si="50"/>
        <v>469.9036486511946</v>
      </c>
      <c r="AY55" s="24">
        <f t="shared" si="51"/>
        <v>21.772405742488093</v>
      </c>
      <c r="AZ55" s="2">
        <f t="shared" si="52"/>
        <v>500.46427163177805</v>
      </c>
      <c r="BA55" s="2">
        <f t="shared" si="53"/>
        <v>496.87725815269357</v>
      </c>
      <c r="BB55" s="44">
        <f t="shared" si="54"/>
        <v>496.87725815269357</v>
      </c>
    </row>
    <row r="56" spans="1:54" x14ac:dyDescent="0.25">
      <c r="A56">
        <f t="shared" si="3"/>
        <v>216</v>
      </c>
      <c r="B56">
        <v>3.6</v>
      </c>
      <c r="C56" s="2">
        <f t="shared" si="55"/>
        <v>571.40884687559753</v>
      </c>
      <c r="D56" s="2">
        <f t="shared" si="4"/>
        <v>15.668125263540608</v>
      </c>
      <c r="E56" s="2">
        <f t="shared" si="5"/>
        <v>633.02036242276517</v>
      </c>
      <c r="F56" s="25">
        <f t="shared" si="6"/>
        <v>28.527542897795932</v>
      </c>
      <c r="G56">
        <f t="shared" si="7"/>
        <v>3.2641981558924494E-5</v>
      </c>
      <c r="H56">
        <f t="shared" si="8"/>
        <v>5.6909558151629889E-5</v>
      </c>
      <c r="I56" s="3">
        <f t="shared" si="9"/>
        <v>5.7029909832718299E-5</v>
      </c>
      <c r="J56" s="28">
        <f t="shared" si="10"/>
        <v>0.15705273489366289</v>
      </c>
      <c r="K56" s="24">
        <f t="shared" si="11"/>
        <v>18.663296216397796</v>
      </c>
      <c r="L56" s="24">
        <f t="shared" si="12"/>
        <v>11.987179168145019</v>
      </c>
      <c r="M56" s="39">
        <f t="shared" si="13"/>
        <v>345.6706532059934</v>
      </c>
      <c r="N56" s="40">
        <f t="shared" si="14"/>
        <v>221.0550606644851</v>
      </c>
      <c r="O56" s="32">
        <f t="shared" si="15"/>
        <v>607.31690005491123</v>
      </c>
      <c r="P56" s="32">
        <f t="shared" si="16"/>
        <v>11.132753659946868</v>
      </c>
      <c r="Q56" s="33">
        <f t="shared" si="17"/>
        <v>25.199995955581155</v>
      </c>
      <c r="R56" s="33">
        <f t="shared" si="18"/>
        <v>22.636161024980595</v>
      </c>
      <c r="S56" s="39">
        <f t="shared" si="19"/>
        <v>680.37853226598315</v>
      </c>
      <c r="T56" s="36">
        <f t="shared" si="20"/>
        <v>602.56729990147278</v>
      </c>
      <c r="U56" s="36">
        <f t="shared" si="21"/>
        <v>9.1180525019934908</v>
      </c>
      <c r="V56" s="37">
        <f t="shared" si="22"/>
        <v>30.52749543496272</v>
      </c>
      <c r="W56" s="40">
        <f t="shared" si="23"/>
        <v>594.01032091959246</v>
      </c>
      <c r="X56" s="32">
        <f t="shared" si="24"/>
        <v>681.96140162275037</v>
      </c>
      <c r="Y56" s="32">
        <f t="shared" si="25"/>
        <v>18.265964595138186</v>
      </c>
      <c r="Z56" s="33">
        <f t="shared" si="26"/>
        <v>17.24665544133164</v>
      </c>
      <c r="AA56" s="33">
        <f t="shared" si="27"/>
        <v>11.14459037999773</v>
      </c>
      <c r="AB56" s="39">
        <f t="shared" si="28"/>
        <v>298.30979237184812</v>
      </c>
      <c r="AC56" s="36">
        <f t="shared" si="29"/>
        <v>640.38702073217087</v>
      </c>
      <c r="AD56" s="36">
        <f t="shared" si="30"/>
        <v>16.185081878651168</v>
      </c>
      <c r="AE56" s="37">
        <f t="shared" si="31"/>
        <v>18.277438200571126</v>
      </c>
      <c r="AF56" s="40">
        <f t="shared" si="32"/>
        <v>432.48306288078425</v>
      </c>
      <c r="AG56" s="32">
        <f t="shared" si="33"/>
        <v>606.42938817317804</v>
      </c>
      <c r="AH56" s="32">
        <f t="shared" si="34"/>
        <v>10.326075962010822</v>
      </c>
      <c r="AI56" s="33">
        <f t="shared" si="35"/>
        <v>27.128927676182442</v>
      </c>
      <c r="AJ56" s="33">
        <f t="shared" si="36"/>
        <v>28.752695026345407</v>
      </c>
      <c r="AK56" s="39">
        <f t="shared" si="37"/>
        <v>865.48891989040635</v>
      </c>
      <c r="AL56" s="36">
        <f t="shared" si="38"/>
        <v>610.23374417920888</v>
      </c>
      <c r="AM56" s="36">
        <f t="shared" si="39"/>
        <v>12.741849593891239</v>
      </c>
      <c r="AN56" s="37">
        <f t="shared" si="40"/>
        <v>22.123378456395184</v>
      </c>
      <c r="AO56" s="40">
        <f t="shared" si="41"/>
        <v>499.32518118641758</v>
      </c>
      <c r="AP56" s="32">
        <f t="shared" si="42"/>
        <v>868.0151370361931</v>
      </c>
      <c r="AQ56" s="32">
        <f t="shared" si="43"/>
        <v>23.288697182398089</v>
      </c>
      <c r="AR56" s="33">
        <f t="shared" si="44"/>
        <v>17.217488782145839</v>
      </c>
      <c r="AS56" s="33">
        <f t="shared" si="45"/>
        <v>11.130952780514612</v>
      </c>
      <c r="AT56" s="39">
        <f t="shared" si="46"/>
        <v>234.08211650060986</v>
      </c>
      <c r="AU56" s="36">
        <f t="shared" si="47"/>
        <v>617.14746984810688</v>
      </c>
      <c r="AV56" s="36">
        <f t="shared" si="48"/>
        <v>14.095820408799328</v>
      </c>
      <c r="AW56" s="37">
        <f t="shared" si="49"/>
        <v>20.224896079787555</v>
      </c>
      <c r="AX56" s="40">
        <f t="shared" si="50"/>
        <v>472.07191063860211</v>
      </c>
      <c r="AY56" s="24">
        <f t="shared" si="51"/>
        <v>22.243284503369708</v>
      </c>
      <c r="AZ56" s="2">
        <f t="shared" si="52"/>
        <v>519.56484025721181</v>
      </c>
      <c r="BA56" s="2">
        <f t="shared" si="53"/>
        <v>499.47261890634911</v>
      </c>
      <c r="BB56" s="44">
        <f t="shared" si="54"/>
        <v>499.47261890634911</v>
      </c>
    </row>
    <row r="57" spans="1:54" x14ac:dyDescent="0.25">
      <c r="A57">
        <f t="shared" si="3"/>
        <v>222</v>
      </c>
      <c r="B57">
        <v>3.7</v>
      </c>
      <c r="C57" s="2">
        <f t="shared" si="55"/>
        <v>574.39351174230148</v>
      </c>
      <c r="D57" s="2">
        <f t="shared" si="4"/>
        <v>15.73573683622392</v>
      </c>
      <c r="E57" s="2">
        <f t="shared" si="5"/>
        <v>633.92027643637664</v>
      </c>
      <c r="F57" s="25">
        <f t="shared" si="6"/>
        <v>29.23549857269132</v>
      </c>
      <c r="G57">
        <f t="shared" si="7"/>
        <v>3.2244336618278477E-5</v>
      </c>
      <c r="H57">
        <f t="shared" si="8"/>
        <v>5.6216285354065645E-5</v>
      </c>
      <c r="I57" s="3">
        <f t="shared" si="9"/>
        <v>5.6683273433936178E-5</v>
      </c>
      <c r="J57" s="28">
        <f t="shared" si="10"/>
        <v>0.15552028682965657</v>
      </c>
      <c r="K57" s="24">
        <f t="shared" si="11"/>
        <v>19.010201673323248</v>
      </c>
      <c r="L57" s="24">
        <f t="shared" si="12"/>
        <v>12.253117009209191</v>
      </c>
      <c r="M57" s="39">
        <f t="shared" si="13"/>
        <v>351.5316549835116</v>
      </c>
      <c r="N57" s="40">
        <f t="shared" si="14"/>
        <v>221.95860859207909</v>
      </c>
      <c r="O57" s="32">
        <f t="shared" si="15"/>
        <v>607.41809889331796</v>
      </c>
      <c r="P57" s="32">
        <f t="shared" si="16"/>
        <v>11.236075301839087</v>
      </c>
      <c r="Q57" s="33">
        <f t="shared" si="17"/>
        <v>25.510105336390232</v>
      </c>
      <c r="R57" s="33">
        <f t="shared" si="18"/>
        <v>23.509955548923138</v>
      </c>
      <c r="S57" s="39">
        <f t="shared" si="19"/>
        <v>703.90910218496128</v>
      </c>
      <c r="T57" s="36">
        <f t="shared" si="20"/>
        <v>602.64436492842947</v>
      </c>
      <c r="U57" s="36">
        <f t="shared" si="21"/>
        <v>9.1314085243692933</v>
      </c>
      <c r="V57" s="37">
        <f t="shared" si="22"/>
        <v>31.143146732023823</v>
      </c>
      <c r="W57" s="40">
        <f t="shared" si="23"/>
        <v>597.67269655599819</v>
      </c>
      <c r="X57" s="32">
        <f t="shared" si="24"/>
        <v>697.56246621838545</v>
      </c>
      <c r="Y57" s="32">
        <f t="shared" si="25"/>
        <v>18.861853253811312</v>
      </c>
      <c r="Z57" s="33">
        <f t="shared" si="26"/>
        <v>17.451706783688763</v>
      </c>
      <c r="AA57" s="33">
        <f t="shared" si="27"/>
        <v>11.244386066637475</v>
      </c>
      <c r="AB57" s="39">
        <f t="shared" si="28"/>
        <v>293.16029170410468</v>
      </c>
      <c r="AC57" s="36">
        <f t="shared" si="29"/>
        <v>641.70431555571076</v>
      </c>
      <c r="AD57" s="36">
        <f t="shared" si="30"/>
        <v>16.269927584915308</v>
      </c>
      <c r="AE57" s="37">
        <f t="shared" si="31"/>
        <v>18.61180547749192</v>
      </c>
      <c r="AF57" s="40">
        <f t="shared" si="32"/>
        <v>433.91290122438596</v>
      </c>
      <c r="AG57" s="32">
        <f t="shared" si="33"/>
        <v>606.29841647287594</v>
      </c>
      <c r="AH57" s="32">
        <f t="shared" si="34"/>
        <v>10.241395178813109</v>
      </c>
      <c r="AI57" s="33">
        <f t="shared" si="35"/>
        <v>27.936144884827026</v>
      </c>
      <c r="AJ57" s="33">
        <f t="shared" si="36"/>
        <v>31.82253053578205</v>
      </c>
      <c r="AK57" s="39">
        <f t="shared" si="37"/>
        <v>954.55460960777407</v>
      </c>
      <c r="AL57" s="36">
        <f t="shared" si="38"/>
        <v>610.32501673494937</v>
      </c>
      <c r="AM57" s="36">
        <f t="shared" si="39"/>
        <v>12.769765235531864</v>
      </c>
      <c r="AN57" s="37">
        <f t="shared" si="40"/>
        <v>22.553680477478377</v>
      </c>
      <c r="AO57" s="40">
        <f t="shared" si="41"/>
        <v>502.21630733476286</v>
      </c>
      <c r="AP57" s="32">
        <f t="shared" si="42"/>
        <v>1019.7004312143722</v>
      </c>
      <c r="AQ57" s="32">
        <f t="shared" si="43"/>
        <v>25.978880696850979</v>
      </c>
      <c r="AR57" s="33">
        <f t="shared" si="44"/>
        <v>18.522147239091424</v>
      </c>
      <c r="AS57" s="33">
        <f t="shared" si="45"/>
        <v>11.886149111759373</v>
      </c>
      <c r="AT57" s="39">
        <f t="shared" si="46"/>
        <v>211.99278117870165</v>
      </c>
      <c r="AU57" s="36">
        <f t="shared" si="47"/>
        <v>617.59210701973689</v>
      </c>
      <c r="AV57" s="36">
        <f t="shared" si="48"/>
        <v>14.15664179478058</v>
      </c>
      <c r="AW57" s="37">
        <f t="shared" si="49"/>
        <v>20.586411922130182</v>
      </c>
      <c r="AX57" s="40">
        <f t="shared" si="50"/>
        <v>474.16758641422228</v>
      </c>
      <c r="AY57" s="24">
        <f t="shared" si="51"/>
        <v>22.789393606640221</v>
      </c>
      <c r="AZ57" s="2">
        <f t="shared" si="52"/>
        <v>540.90419616888539</v>
      </c>
      <c r="BA57" s="2">
        <f t="shared" si="53"/>
        <v>501.99237288234235</v>
      </c>
      <c r="BB57" s="44">
        <f t="shared" si="54"/>
        <v>501.99237288234235</v>
      </c>
    </row>
    <row r="58" spans="1:54" x14ac:dyDescent="0.25">
      <c r="A58">
        <f t="shared" si="3"/>
        <v>228</v>
      </c>
      <c r="B58">
        <v>3.8</v>
      </c>
      <c r="C58" s="2">
        <f t="shared" si="55"/>
        <v>577.29122881469368</v>
      </c>
      <c r="D58" s="2">
        <f t="shared" si="4"/>
        <v>15.801569691063738</v>
      </c>
      <c r="E58" s="2">
        <f t="shared" si="5"/>
        <v>634.81471025074666</v>
      </c>
      <c r="F58" s="25">
        <f t="shared" si="6"/>
        <v>29.942742031412919</v>
      </c>
      <c r="G58">
        <f t="shared" si="7"/>
        <v>3.1861257628885875E-5</v>
      </c>
      <c r="H58">
        <f t="shared" si="8"/>
        <v>5.5548407517539344E-5</v>
      </c>
      <c r="I58" s="3">
        <f t="shared" si="9"/>
        <v>5.6349334515673027E-5</v>
      </c>
      <c r="J58" s="28">
        <f t="shared" si="10"/>
        <v>0.15404039475327841</v>
      </c>
      <c r="K58" s="24">
        <f t="shared" si="11"/>
        <v>19.355377993551098</v>
      </c>
      <c r="L58" s="24">
        <f t="shared" si="12"/>
        <v>12.543658960069052</v>
      </c>
      <c r="M58" s="39">
        <f t="shared" si="13"/>
        <v>358.04982247131562</v>
      </c>
      <c r="N58" s="40">
        <f t="shared" si="14"/>
        <v>222.8336771821852</v>
      </c>
      <c r="O58" s="32">
        <f t="shared" si="15"/>
        <v>607.53665451289987</v>
      </c>
      <c r="P58" s="32">
        <f t="shared" si="16"/>
        <v>11.351885620831816</v>
      </c>
      <c r="Q58" s="33">
        <f t="shared" si="17"/>
        <v>25.784539818206721</v>
      </c>
      <c r="R58" s="33">
        <f t="shared" si="18"/>
        <v>24.31709772982812</v>
      </c>
      <c r="S58" s="39">
        <f t="shared" si="19"/>
        <v>725.27959913460211</v>
      </c>
      <c r="T58" s="36">
        <f t="shared" si="20"/>
        <v>602.71808044445584</v>
      </c>
      <c r="U58" s="36">
        <f t="shared" si="21"/>
        <v>9.1443610040182435</v>
      </c>
      <c r="V58" s="37">
        <f t="shared" si="22"/>
        <v>31.755266578469101</v>
      </c>
      <c r="W58" s="40">
        <f t="shared" si="23"/>
        <v>601.24383707888421</v>
      </c>
      <c r="X58" s="32">
        <f t="shared" si="24"/>
        <v>713.53281118394489</v>
      </c>
      <c r="Y58" s="32">
        <f t="shared" si="25"/>
        <v>19.413787229015306</v>
      </c>
      <c r="Z58" s="33">
        <f t="shared" si="26"/>
        <v>17.707554582376034</v>
      </c>
      <c r="AA58" s="33">
        <f t="shared" si="27"/>
        <v>11.378830106195704</v>
      </c>
      <c r="AB58" s="39">
        <f t="shared" si="28"/>
        <v>288.96807937200379</v>
      </c>
      <c r="AC58" s="36">
        <f t="shared" si="29"/>
        <v>643.02330361169254</v>
      </c>
      <c r="AD58" s="36">
        <f t="shared" si="30"/>
        <v>16.352948978318452</v>
      </c>
      <c r="AE58" s="37">
        <f t="shared" si="31"/>
        <v>18.944604222980182</v>
      </c>
      <c r="AF58" s="40">
        <f t="shared" si="32"/>
        <v>435.28432897095757</v>
      </c>
      <c r="AG58" s="32">
        <f t="shared" si="33"/>
        <v>606.18300227437771</v>
      </c>
      <c r="AH58" s="32">
        <f t="shared" si="34"/>
        <v>10.172895109467659</v>
      </c>
      <c r="AI58" s="33">
        <f t="shared" si="35"/>
        <v>28.708737470050902</v>
      </c>
      <c r="AJ58" s="33">
        <f t="shared" si="36"/>
        <v>35.065201483276923</v>
      </c>
      <c r="AK58" s="39">
        <f t="shared" si="37"/>
        <v>1048.1870532222047</v>
      </c>
      <c r="AL58" s="36">
        <f t="shared" si="38"/>
        <v>610.41446571156689</v>
      </c>
      <c r="AM58" s="36">
        <f t="shared" si="39"/>
        <v>12.79658351742901</v>
      </c>
      <c r="AN58" s="37">
        <f t="shared" si="40"/>
        <v>22.981887148160794</v>
      </c>
      <c r="AO58" s="40">
        <f t="shared" si="41"/>
        <v>505.03910050867938</v>
      </c>
      <c r="AP58" s="32">
        <f t="shared" si="42"/>
        <v>1233.4707157745802</v>
      </c>
      <c r="AQ58" s="32">
        <f t="shared" si="43"/>
        <v>28.998593166319715</v>
      </c>
      <c r="AR58" s="33">
        <f t="shared" si="44"/>
        <v>20.493060408396552</v>
      </c>
      <c r="AS58" s="33">
        <f t="shared" si="45"/>
        <v>13.700650246411421</v>
      </c>
      <c r="AT58" s="39">
        <f t="shared" si="46"/>
        <v>201.26976674768443</v>
      </c>
      <c r="AU58" s="36">
        <f t="shared" si="47"/>
        <v>618.03988439736804</v>
      </c>
      <c r="AV58" s="36">
        <f t="shared" si="48"/>
        <v>14.216206289072531</v>
      </c>
      <c r="AW58" s="37">
        <f t="shared" si="49"/>
        <v>20.945353378335927</v>
      </c>
      <c r="AX58" s="40">
        <f t="shared" si="50"/>
        <v>476.19443895623812</v>
      </c>
      <c r="AY58" s="24">
        <f t="shared" si="51"/>
        <v>23.415125450872026</v>
      </c>
      <c r="AZ58" s="2">
        <f t="shared" si="52"/>
        <v>565.9261246191237</v>
      </c>
      <c r="BA58" s="2">
        <f t="shared" si="53"/>
        <v>504.44042637868984</v>
      </c>
      <c r="BB58" s="44">
        <f t="shared" si="54"/>
        <v>504.44042637868984</v>
      </c>
    </row>
    <row r="59" spans="1:54" x14ac:dyDescent="0.25">
      <c r="A59">
        <f t="shared" si="3"/>
        <v>234</v>
      </c>
      <c r="B59">
        <v>3.9</v>
      </c>
      <c r="C59" s="2">
        <f t="shared" si="55"/>
        <v>580.10649033549328</v>
      </c>
      <c r="D59" s="2">
        <f t="shared" si="4"/>
        <v>15.86570938454342</v>
      </c>
      <c r="E59" s="2">
        <f t="shared" si="5"/>
        <v>635.70349730081909</v>
      </c>
      <c r="F59" s="25">
        <f t="shared" si="6"/>
        <v>30.64932637611092</v>
      </c>
      <c r="G59">
        <f t="shared" si="7"/>
        <v>3.1491854173076983E-5</v>
      </c>
      <c r="H59">
        <f t="shared" si="8"/>
        <v>5.4904372246217976E-5</v>
      </c>
      <c r="I59" s="3">
        <f t="shared" si="9"/>
        <v>5.602731688001234E-5</v>
      </c>
      <c r="J59" s="28">
        <f t="shared" si="10"/>
        <v>0.15260995941084995</v>
      </c>
      <c r="K59" s="24">
        <f t="shared" si="11"/>
        <v>19.698903635559915</v>
      </c>
      <c r="L59" s="24">
        <f t="shared" si="12"/>
        <v>12.859782353812228</v>
      </c>
      <c r="M59" s="39">
        <f t="shared" si="13"/>
        <v>365.24345731084986</v>
      </c>
      <c r="N59" s="40">
        <f t="shared" si="14"/>
        <v>223.68178924731194</v>
      </c>
      <c r="O59" s="32">
        <f t="shared" si="15"/>
        <v>607.67814386575367</v>
      </c>
      <c r="P59" s="32">
        <f t="shared" si="16"/>
        <v>11.480801921606432</v>
      </c>
      <c r="Q59" s="33">
        <f t="shared" si="17"/>
        <v>26.022459563638655</v>
      </c>
      <c r="R59" s="33">
        <f t="shared" si="18"/>
        <v>25.043110568269213</v>
      </c>
      <c r="S59" s="39">
        <f t="shared" si="19"/>
        <v>744.07734512131321</v>
      </c>
      <c r="T59" s="36">
        <f t="shared" si="20"/>
        <v>602.78866741206775</v>
      </c>
      <c r="U59" s="36">
        <f t="shared" si="21"/>
        <v>9.1569308502264466</v>
      </c>
      <c r="V59" s="37">
        <f t="shared" si="22"/>
        <v>32.363992678997157</v>
      </c>
      <c r="W59" s="40">
        <f t="shared" si="23"/>
        <v>604.72812130422938</v>
      </c>
      <c r="X59" s="32">
        <f t="shared" si="24"/>
        <v>729.08030756734308</v>
      </c>
      <c r="Y59" s="32">
        <f t="shared" si="25"/>
        <v>19.907731798946454</v>
      </c>
      <c r="Z59" s="33">
        <f t="shared" si="26"/>
        <v>18.005307254855332</v>
      </c>
      <c r="AA59" s="33">
        <f t="shared" si="27"/>
        <v>11.549829296589753</v>
      </c>
      <c r="AB59" s="39">
        <f t="shared" si="28"/>
        <v>286.02475663241364</v>
      </c>
      <c r="AC59" s="36">
        <f t="shared" si="29"/>
        <v>644.3435028394764</v>
      </c>
      <c r="AD59" s="36">
        <f t="shared" si="30"/>
        <v>16.43422647900433</v>
      </c>
      <c r="AE59" s="37">
        <f t="shared" si="31"/>
        <v>19.275920923946689</v>
      </c>
      <c r="AF59" s="40">
        <f t="shared" si="32"/>
        <v>436.60058253689857</v>
      </c>
      <c r="AG59" s="32">
        <f t="shared" si="33"/>
        <v>606.09681562190303</v>
      </c>
      <c r="AH59" s="32">
        <f t="shared" si="34"/>
        <v>10.125036917884575</v>
      </c>
      <c r="AI59" s="33">
        <f t="shared" si="35"/>
        <v>29.430140593809007</v>
      </c>
      <c r="AJ59" s="33">
        <f t="shared" si="36"/>
        <v>38.374985672127181</v>
      </c>
      <c r="AK59" s="39">
        <f t="shared" si="37"/>
        <v>1143.1669270874554</v>
      </c>
      <c r="AL59" s="36">
        <f t="shared" si="38"/>
        <v>610.50209519347879</v>
      </c>
      <c r="AM59" s="36">
        <f t="shared" si="39"/>
        <v>12.822362489633807</v>
      </c>
      <c r="AN59" s="37">
        <f t="shared" si="40"/>
        <v>23.408094304404123</v>
      </c>
      <c r="AO59" s="40">
        <f t="shared" si="41"/>
        <v>507.7969254314379</v>
      </c>
      <c r="AP59" s="32">
        <f t="shared" si="42"/>
        <v>1515.6958647613865</v>
      </c>
      <c r="AQ59" s="32">
        <f t="shared" si="43"/>
        <v>32.26240220368846</v>
      </c>
      <c r="AR59" s="33">
        <f t="shared" si="44"/>
        <v>23.097358468822922</v>
      </c>
      <c r="AS59" s="33">
        <f t="shared" si="45"/>
        <v>17.710795011948306</v>
      </c>
      <c r="AT59" s="39">
        <f t="shared" si="46"/>
        <v>210.97423368592652</v>
      </c>
      <c r="AU59" s="36">
        <f t="shared" si="47"/>
        <v>618.49060301155441</v>
      </c>
      <c r="AV59" s="36">
        <f t="shared" si="48"/>
        <v>14.27457224348608</v>
      </c>
      <c r="AW59" s="37">
        <f t="shared" si="49"/>
        <v>21.301831873343826</v>
      </c>
      <c r="AX59" s="40">
        <f t="shared" si="50"/>
        <v>478.15595322175665</v>
      </c>
      <c r="AY59" s="24">
        <f t="shared" si="51"/>
        <v>24.113138207727214</v>
      </c>
      <c r="AZ59" s="2">
        <f t="shared" si="52"/>
        <v>596.06081563177713</v>
      </c>
      <c r="BA59" s="2">
        <f t="shared" si="53"/>
        <v>506.82039562358068</v>
      </c>
      <c r="BB59" s="44">
        <f t="shared" si="54"/>
        <v>506.82039562358068</v>
      </c>
    </row>
    <row r="60" spans="1:54" x14ac:dyDescent="0.25">
      <c r="A60">
        <f t="shared" si="3"/>
        <v>240</v>
      </c>
      <c r="B60">
        <v>4</v>
      </c>
      <c r="C60" s="2">
        <f t="shared" si="55"/>
        <v>582.84345496711774</v>
      </c>
      <c r="D60" s="2">
        <f t="shared" si="4"/>
        <v>15.928235449354771</v>
      </c>
      <c r="E60" s="2">
        <f t="shared" si="5"/>
        <v>636.58649744558238</v>
      </c>
      <c r="F60" s="25">
        <f t="shared" si="6"/>
        <v>31.355300572132929</v>
      </c>
      <c r="G60">
        <f t="shared" si="7"/>
        <v>3.1135311459310592E-5</v>
      </c>
      <c r="H60">
        <f t="shared" si="8"/>
        <v>5.4282758994399909E-5</v>
      </c>
      <c r="I60" s="3">
        <f t="shared" si="9"/>
        <v>5.5716510254103313E-5</v>
      </c>
      <c r="J60" s="28">
        <f t="shared" si="10"/>
        <v>0.15122613860815656</v>
      </c>
      <c r="K60" s="24">
        <f t="shared" si="11"/>
        <v>20.040851607695533</v>
      </c>
      <c r="L60" s="24">
        <f t="shared" si="12"/>
        <v>13.202448193289676</v>
      </c>
      <c r="M60" s="39">
        <f t="shared" si="13"/>
        <v>373.13018267166223</v>
      </c>
      <c r="N60" s="40">
        <f t="shared" si="14"/>
        <v>224.50435420519423</v>
      </c>
      <c r="O60" s="32">
        <f t="shared" si="15"/>
        <v>607.85049714274692</v>
      </c>
      <c r="P60" s="32">
        <f t="shared" si="16"/>
        <v>11.62347108590631</v>
      </c>
      <c r="Q60" s="33">
        <f t="shared" si="17"/>
        <v>26.223300583826802</v>
      </c>
      <c r="R60" s="33">
        <f t="shared" si="18"/>
        <v>25.675295454564221</v>
      </c>
      <c r="S60" s="39">
        <f t="shared" si="19"/>
        <v>759.94472542555309</v>
      </c>
      <c r="T60" s="36">
        <f t="shared" si="20"/>
        <v>602.85632756397922</v>
      </c>
      <c r="U60" s="36">
        <f t="shared" si="21"/>
        <v>9.1691374549344307</v>
      </c>
      <c r="V60" s="37">
        <f t="shared" si="22"/>
        <v>32.969454138299575</v>
      </c>
      <c r="W60" s="40">
        <f t="shared" si="23"/>
        <v>608.12961769848039</v>
      </c>
      <c r="X60" s="32">
        <f t="shared" si="24"/>
        <v>743.34936847404799</v>
      </c>
      <c r="Y60" s="32">
        <f t="shared" si="25"/>
        <v>20.33083624354267</v>
      </c>
      <c r="Z60" s="33">
        <f t="shared" si="26"/>
        <v>18.33429230030222</v>
      </c>
      <c r="AA60" s="33">
        <f t="shared" si="27"/>
        <v>11.757905282661191</v>
      </c>
      <c r="AB60" s="39">
        <f t="shared" si="28"/>
        <v>284.57733758114858</v>
      </c>
      <c r="AC60" s="36">
        <f t="shared" si="29"/>
        <v>645.66447125383456</v>
      </c>
      <c r="AD60" s="36">
        <f t="shared" si="30"/>
        <v>16.513835123326601</v>
      </c>
      <c r="AE60" s="37">
        <f t="shared" si="31"/>
        <v>19.605835820813223</v>
      </c>
      <c r="AF60" s="40">
        <f t="shared" si="32"/>
        <v>437.86465726947785</v>
      </c>
      <c r="AG60" s="32">
        <f t="shared" si="33"/>
        <v>606.05277894026995</v>
      </c>
      <c r="AH60" s="32">
        <f t="shared" si="34"/>
        <v>10.101573178972359</v>
      </c>
      <c r="AI60" s="33">
        <f t="shared" si="35"/>
        <v>30.084849900785123</v>
      </c>
      <c r="AJ60" s="33">
        <f t="shared" si="36"/>
        <v>41.62468528387565</v>
      </c>
      <c r="AK60" s="39">
        <f t="shared" si="37"/>
        <v>1235.6738253732533</v>
      </c>
      <c r="AL60" s="36">
        <f t="shared" si="38"/>
        <v>610.58791328405277</v>
      </c>
      <c r="AM60" s="36">
        <f t="shared" si="39"/>
        <v>12.847156064946306</v>
      </c>
      <c r="AN60" s="37">
        <f t="shared" si="40"/>
        <v>23.832391233972444</v>
      </c>
      <c r="AO60" s="40">
        <f t="shared" si="41"/>
        <v>510.49290125926115</v>
      </c>
      <c r="AP60" s="32">
        <f t="shared" si="42"/>
        <v>1862.2065120157486</v>
      </c>
      <c r="AQ60" s="32">
        <f t="shared" si="43"/>
        <v>35.635482755546121</v>
      </c>
      <c r="AR60" s="33">
        <f t="shared" si="44"/>
        <v>26.204242563615022</v>
      </c>
      <c r="AS60" s="33">
        <f t="shared" si="45"/>
        <v>25.614539618741432</v>
      </c>
      <c r="AT60" s="39">
        <f t="shared" si="46"/>
        <v>247.46970743041996</v>
      </c>
      <c r="AU60" s="36">
        <f t="shared" si="47"/>
        <v>618.94407728423607</v>
      </c>
      <c r="AV60" s="36">
        <f t="shared" si="48"/>
        <v>14.331793915410241</v>
      </c>
      <c r="AW60" s="37">
        <f t="shared" si="49"/>
        <v>21.655951661765766</v>
      </c>
      <c r="AX60" s="40">
        <f t="shared" si="50"/>
        <v>480.05536292287269</v>
      </c>
      <c r="AY60" s="24">
        <f t="shared" si="51"/>
        <v>24.863789775422521</v>
      </c>
      <c r="AZ60" s="2">
        <f t="shared" si="52"/>
        <v>631.91639895259368</v>
      </c>
      <c r="BA60" s="2">
        <f t="shared" si="53"/>
        <v>509.13563478752303</v>
      </c>
      <c r="BB60" s="44">
        <f t="shared" si="54"/>
        <v>509.13563478752303</v>
      </c>
    </row>
    <row r="61" spans="1:54" x14ac:dyDescent="0.25">
      <c r="A61">
        <f t="shared" si="3"/>
        <v>245.99999999999997</v>
      </c>
      <c r="B61">
        <v>4.0999999999999996</v>
      </c>
      <c r="C61" s="2">
        <f t="shared" si="55"/>
        <v>585.5059800056514</v>
      </c>
      <c r="D61" s="2">
        <f t="shared" si="4"/>
        <v>15.989221953026133</v>
      </c>
      <c r="E61" s="2">
        <f t="shared" si="5"/>
        <v>637.46359396243952</v>
      </c>
      <c r="F61" s="25">
        <f t="shared" si="6"/>
        <v>32.060709835162356</v>
      </c>
      <c r="G61">
        <f t="shared" si="7"/>
        <v>3.0790882176536507E-5</v>
      </c>
      <c r="H61">
        <f t="shared" si="8"/>
        <v>5.3682264865029356E-5</v>
      </c>
      <c r="I61" s="3">
        <f t="shared" si="9"/>
        <v>5.5416263189418033E-5</v>
      </c>
      <c r="J61" s="28">
        <f t="shared" si="10"/>
        <v>0.14988632000063765</v>
      </c>
      <c r="K61" s="24">
        <f t="shared" si="11"/>
        <v>20.381289967979555</v>
      </c>
      <c r="L61" s="24">
        <f t="shared" si="12"/>
        <v>13.572602406618202</v>
      </c>
      <c r="M61" s="39">
        <f t="shared" si="13"/>
        <v>381.72699654491356</v>
      </c>
      <c r="N61" s="40">
        <f t="shared" si="14"/>
        <v>225.30267887600078</v>
      </c>
      <c r="O61" s="32">
        <f t="shared" si="15"/>
        <v>608.06463672637108</v>
      </c>
      <c r="P61" s="32">
        <f t="shared" si="16"/>
        <v>11.780572704852496</v>
      </c>
      <c r="Q61" s="33">
        <f t="shared" si="17"/>
        <v>26.386813954693604</v>
      </c>
      <c r="R61" s="33">
        <f t="shared" si="18"/>
        <v>26.203234050031149</v>
      </c>
      <c r="S61" s="39">
        <f t="shared" si="19"/>
        <v>772.5921377277067</v>
      </c>
      <c r="T61" s="36">
        <f t="shared" si="20"/>
        <v>602.92124546684261</v>
      </c>
      <c r="U61" s="36">
        <f t="shared" si="21"/>
        <v>9.1809988341797943</v>
      </c>
      <c r="V61" s="37">
        <f t="shared" si="22"/>
        <v>33.571772189846335</v>
      </c>
      <c r="W61" s="40">
        <f t="shared" si="23"/>
        <v>611.45211331847327</v>
      </c>
      <c r="X61" s="32">
        <f t="shared" si="24"/>
        <v>755.50287282609861</v>
      </c>
      <c r="Y61" s="32">
        <f t="shared" si="25"/>
        <v>20.672119238807159</v>
      </c>
      <c r="Z61" s="33">
        <f t="shared" si="26"/>
        <v>18.68334918957828</v>
      </c>
      <c r="AA61" s="33">
        <f t="shared" si="27"/>
        <v>12.001863572135818</v>
      </c>
      <c r="AB61" s="39">
        <f t="shared" si="28"/>
        <v>284.81161778776431</v>
      </c>
      <c r="AC61" s="36">
        <f t="shared" si="29"/>
        <v>646.98580337394651</v>
      </c>
      <c r="AD61" s="36">
        <f t="shared" si="30"/>
        <v>16.591845045861632</v>
      </c>
      <c r="AE61" s="37">
        <f t="shared" si="31"/>
        <v>19.93442348472826</v>
      </c>
      <c r="AF61" s="40">
        <f t="shared" si="32"/>
        <v>439.07933030818441</v>
      </c>
      <c r="AG61" s="32">
        <f t="shared" si="33"/>
        <v>606.05998270092209</v>
      </c>
      <c r="AH61" s="32">
        <f t="shared" si="34"/>
        <v>10.105367852096942</v>
      </c>
      <c r="AI61" s="33">
        <f t="shared" si="35"/>
        <v>30.659643024751279</v>
      </c>
      <c r="AJ61" s="33">
        <f t="shared" si="36"/>
        <v>44.677869324171326</v>
      </c>
      <c r="AK61" s="39">
        <f t="shared" si="37"/>
        <v>1321.6667962180638</v>
      </c>
      <c r="AL61" s="36">
        <f t="shared" si="38"/>
        <v>610.67193158473287</v>
      </c>
      <c r="AM61" s="36">
        <f t="shared" si="39"/>
        <v>12.871014396629869</v>
      </c>
      <c r="AN61" s="37">
        <f t="shared" si="40"/>
        <v>24.254861267053339</v>
      </c>
      <c r="AO61" s="40">
        <f t="shared" si="41"/>
        <v>513.12992495978642</v>
      </c>
      <c r="AP61" s="32">
        <f t="shared" si="42"/>
        <v>2254.8934585806119</v>
      </c>
      <c r="AQ61" s="32">
        <f t="shared" si="43"/>
        <v>38.942962885384979</v>
      </c>
      <c r="AR61" s="33">
        <f t="shared" si="44"/>
        <v>29.600609121164119</v>
      </c>
      <c r="AS61" s="33">
        <f t="shared" si="45"/>
        <v>39.198200708121206</v>
      </c>
      <c r="AT61" s="39">
        <f t="shared" si="46"/>
        <v>311.66299559601094</v>
      </c>
      <c r="AU61" s="36">
        <f t="shared" si="47"/>
        <v>619.40013396301083</v>
      </c>
      <c r="AV61" s="36">
        <f t="shared" si="48"/>
        <v>14.387921845864549</v>
      </c>
      <c r="AW61" s="37">
        <f t="shared" si="49"/>
        <v>22.007810451794992</v>
      </c>
      <c r="AX61" s="40">
        <f t="shared" si="50"/>
        <v>481.89567413647478</v>
      </c>
      <c r="AY61" s="24">
        <f t="shared" si="51"/>
        <v>25.637410335451275</v>
      </c>
      <c r="AZ61" s="2">
        <f t="shared" si="52"/>
        <v>672.68338683238642</v>
      </c>
      <c r="BA61" s="2">
        <f t="shared" si="53"/>
        <v>511.38926068072971</v>
      </c>
      <c r="BB61" s="44">
        <f t="shared" si="54"/>
        <v>511.38926068072971</v>
      </c>
    </row>
    <row r="62" spans="1:54" x14ac:dyDescent="0.25">
      <c r="A62">
        <f t="shared" si="3"/>
        <v>252</v>
      </c>
      <c r="B62">
        <v>4.2</v>
      </c>
      <c r="C62" s="2">
        <f t="shared" si="55"/>
        <v>588.09764978283908</v>
      </c>
      <c r="D62" s="2">
        <f t="shared" si="4"/>
        <v>16.04873799248459</v>
      </c>
      <c r="E62" s="2">
        <f t="shared" si="5"/>
        <v>638.33469089796517</v>
      </c>
      <c r="F62" s="25">
        <f t="shared" si="6"/>
        <v>32.765595975410783</v>
      </c>
      <c r="G62">
        <f t="shared" si="7"/>
        <v>3.0457879402427323E-5</v>
      </c>
      <c r="H62">
        <f t="shared" si="8"/>
        <v>5.3101692245575761E-5</v>
      </c>
      <c r="I62" s="3">
        <f t="shared" si="9"/>
        <v>5.5125976879691232E-5</v>
      </c>
      <c r="J62" s="28">
        <f t="shared" si="10"/>
        <v>0.14858809735599815</v>
      </c>
      <c r="K62" s="24">
        <f t="shared" si="11"/>
        <v>20.720282267590878</v>
      </c>
      <c r="L62" s="24">
        <f t="shared" si="12"/>
        <v>13.971176968883853</v>
      </c>
      <c r="M62" s="39">
        <f t="shared" si="13"/>
        <v>391.0503193977604</v>
      </c>
      <c r="N62" s="40">
        <f t="shared" si="14"/>
        <v>226.07797703051557</v>
      </c>
      <c r="O62" s="32">
        <f t="shared" si="15"/>
        <v>608.33521712045842</v>
      </c>
      <c r="P62" s="32">
        <f t="shared" si="16"/>
        <v>11.952822082258221</v>
      </c>
      <c r="Q62" s="33">
        <f t="shared" si="17"/>
        <v>26.513106172515247</v>
      </c>
      <c r="R62" s="33">
        <f t="shared" si="18"/>
        <v>26.619230319385579</v>
      </c>
      <c r="S62" s="39">
        <f t="shared" si="19"/>
        <v>781.80894198350586</v>
      </c>
      <c r="T62" s="36">
        <f t="shared" si="20"/>
        <v>602.98359032290887</v>
      </c>
      <c r="U62" s="36">
        <f t="shared" si="21"/>
        <v>9.1925317534596189</v>
      </c>
      <c r="V62" s="37">
        <f t="shared" si="22"/>
        <v>34.171060847201787</v>
      </c>
      <c r="W62" s="40">
        <f t="shared" si="23"/>
        <v>614.69913942623236</v>
      </c>
      <c r="X62" s="32">
        <f t="shared" si="24"/>
        <v>764.80862967686403</v>
      </c>
      <c r="Y62" s="32">
        <f t="shared" si="25"/>
        <v>20.923086294050158</v>
      </c>
      <c r="Z62" s="33">
        <f t="shared" si="26"/>
        <v>19.042113109408895</v>
      </c>
      <c r="AA62" s="33">
        <f t="shared" si="27"/>
        <v>12.278872491798886</v>
      </c>
      <c r="AB62" s="39">
        <f t="shared" si="28"/>
        <v>286.84930915510625</v>
      </c>
      <c r="AC62" s="36">
        <f t="shared" si="29"/>
        <v>648.30712701507809</v>
      </c>
      <c r="AD62" s="36">
        <f t="shared" si="30"/>
        <v>16.668321907692729</v>
      </c>
      <c r="AE62" s="37">
        <f t="shared" si="31"/>
        <v>20.261753329813573</v>
      </c>
      <c r="AF62" s="40">
        <f t="shared" si="32"/>
        <v>440.24718080622682</v>
      </c>
      <c r="AG62" s="32">
        <f t="shared" si="33"/>
        <v>606.12140792439197</v>
      </c>
      <c r="AH62" s="32">
        <f t="shared" si="34"/>
        <v>10.138424508926075</v>
      </c>
      <c r="AI62" s="33">
        <f t="shared" si="35"/>
        <v>31.144205672343322</v>
      </c>
      <c r="AJ62" s="33">
        <f t="shared" si="36"/>
        <v>47.401788220931536</v>
      </c>
      <c r="AK62" s="39">
        <f t="shared" si="37"/>
        <v>1397.2792209108306</v>
      </c>
      <c r="AL62" s="36">
        <f t="shared" si="38"/>
        <v>610.75416472817074</v>
      </c>
      <c r="AM62" s="36">
        <f t="shared" si="39"/>
        <v>12.893984213844851</v>
      </c>
      <c r="AN62" s="37">
        <f t="shared" si="40"/>
        <v>24.675582301239661</v>
      </c>
      <c r="AO62" s="40">
        <f t="shared" si="41"/>
        <v>515.7106919693158</v>
      </c>
      <c r="AP62" s="32">
        <f t="shared" si="42"/>
        <v>2661.6704216146595</v>
      </c>
      <c r="AQ62" s="32">
        <f t="shared" si="43"/>
        <v>41.98804122666315</v>
      </c>
      <c r="AR62" s="33">
        <f t="shared" si="44"/>
        <v>33.023018710969808</v>
      </c>
      <c r="AS62" s="33">
        <f t="shared" si="45"/>
        <v>59.329801607621874</v>
      </c>
      <c r="AT62" s="39">
        <f t="shared" si="46"/>
        <v>398.26002443616841</v>
      </c>
      <c r="AU62" s="36">
        <f t="shared" si="47"/>
        <v>619.85861114968702</v>
      </c>
      <c r="AV62" s="36">
        <f t="shared" si="48"/>
        <v>14.443003194627153</v>
      </c>
      <c r="AW62" s="37">
        <f t="shared" si="49"/>
        <v>22.357499961121089</v>
      </c>
      <c r="AX62" s="40">
        <f t="shared" si="50"/>
        <v>483.67968618921537</v>
      </c>
      <c r="AY62" s="24">
        <f t="shared" si="51"/>
        <v>26.398542513076674</v>
      </c>
      <c r="AZ62" s="2">
        <f t="shared" si="52"/>
        <v>716.04937412140282</v>
      </c>
      <c r="BA62" s="2">
        <f t="shared" si="53"/>
        <v>513.58417459774762</v>
      </c>
      <c r="BB62" s="44">
        <f t="shared" si="54"/>
        <v>513.58417459774762</v>
      </c>
    </row>
    <row r="63" spans="1:54" x14ac:dyDescent="0.25">
      <c r="A63">
        <f t="shared" si="3"/>
        <v>258</v>
      </c>
      <c r="B63">
        <v>4.3</v>
      </c>
      <c r="C63" s="2">
        <f t="shared" si="55"/>
        <v>590.62180078740971</v>
      </c>
      <c r="D63" s="2">
        <f t="shared" si="4"/>
        <v>16.106848133264428</v>
      </c>
      <c r="E63" s="2">
        <f t="shared" si="5"/>
        <v>639.1997107288347</v>
      </c>
      <c r="F63" s="25">
        <f t="shared" si="6"/>
        <v>33.469997704388085</v>
      </c>
      <c r="G63">
        <f t="shared" si="7"/>
        <v>3.0135670407427891E-5</v>
      </c>
      <c r="H63">
        <f t="shared" si="8"/>
        <v>5.2539938005723712E-5</v>
      </c>
      <c r="I63" s="3">
        <f t="shared" si="9"/>
        <v>5.4845099759765208E-5</v>
      </c>
      <c r="J63" s="28">
        <f t="shared" si="10"/>
        <v>0.14732924977433834</v>
      </c>
      <c r="K63" s="24">
        <f t="shared" si="11"/>
        <v>21.057887945497367</v>
      </c>
      <c r="L63" s="24">
        <f t="shared" si="12"/>
        <v>14.399090907519174</v>
      </c>
      <c r="M63" s="39">
        <f t="shared" si="13"/>
        <v>401.11603691561123</v>
      </c>
      <c r="N63" s="40">
        <f t="shared" si="14"/>
        <v>226.83137785877776</v>
      </c>
      <c r="O63" s="32">
        <f t="shared" si="15"/>
        <v>608.68147359887257</v>
      </c>
      <c r="P63" s="32">
        <f t="shared" si="16"/>
        <v>12.140973123305226</v>
      </c>
      <c r="Q63" s="33">
        <f t="shared" si="17"/>
        <v>26.602679981933036</v>
      </c>
      <c r="R63" s="33">
        <f t="shared" si="18"/>
        <v>26.918667992092729</v>
      </c>
      <c r="S63" s="39">
        <f t="shared" si="19"/>
        <v>787.47178961102509</v>
      </c>
      <c r="T63" s="36">
        <f t="shared" si="20"/>
        <v>603.04351754789229</v>
      </c>
      <c r="U63" s="36">
        <f t="shared" si="21"/>
        <v>9.2037518391638891</v>
      </c>
      <c r="V63" s="37">
        <f t="shared" si="22"/>
        <v>34.767427487723864</v>
      </c>
      <c r="W63" s="40">
        <f t="shared" si="23"/>
        <v>617.87399422990984</v>
      </c>
      <c r="X63" s="32">
        <f t="shared" si="24"/>
        <v>770.71779094288127</v>
      </c>
      <c r="Y63" s="32">
        <f t="shared" si="25"/>
        <v>21.078225351632</v>
      </c>
      <c r="Z63" s="33">
        <f t="shared" si="26"/>
        <v>19.402162843119942</v>
      </c>
      <c r="AA63" s="33">
        <f t="shared" si="27"/>
        <v>12.585100556358164</v>
      </c>
      <c r="AB63" s="39">
        <f t="shared" si="28"/>
        <v>290.75877314351044</v>
      </c>
      <c r="AC63" s="36">
        <f t="shared" si="29"/>
        <v>649.62810040124009</v>
      </c>
      <c r="AD63" s="36">
        <f t="shared" si="30"/>
        <v>16.743327278088692</v>
      </c>
      <c r="AE63" s="37">
        <f t="shared" si="31"/>
        <v>20.58789006903832</v>
      </c>
      <c r="AF63" s="40">
        <f t="shared" si="32"/>
        <v>441.37060787082459</v>
      </c>
      <c r="AG63" s="32">
        <f t="shared" si="33"/>
        <v>606.23332193355316</v>
      </c>
      <c r="AH63" s="32">
        <f t="shared" si="34"/>
        <v>10.202106590860371</v>
      </c>
      <c r="AI63" s="33">
        <f t="shared" si="35"/>
        <v>31.531073121541162</v>
      </c>
      <c r="AJ63" s="33">
        <f t="shared" si="36"/>
        <v>49.677619899480831</v>
      </c>
      <c r="AK63" s="39">
        <f t="shared" si="37"/>
        <v>1459.1249989292617</v>
      </c>
      <c r="AL63" s="36">
        <f t="shared" si="38"/>
        <v>610.83462996063281</v>
      </c>
      <c r="AM63" s="36">
        <f t="shared" si="39"/>
        <v>12.916109120404824</v>
      </c>
      <c r="AN63" s="37">
        <f t="shared" si="40"/>
        <v>25.094627269488949</v>
      </c>
      <c r="AO63" s="40">
        <f t="shared" si="41"/>
        <v>518.23771450106801</v>
      </c>
      <c r="AP63" s="32">
        <f t="shared" si="42"/>
        <v>3040.4158922699557</v>
      </c>
      <c r="AQ63" s="32">
        <f t="shared" si="43"/>
        <v>44.57392002948891</v>
      </c>
      <c r="AR63" s="33">
        <f t="shared" si="44"/>
        <v>36.194365594500006</v>
      </c>
      <c r="AS63" s="33">
        <f t="shared" si="45"/>
        <v>84.859535216859356</v>
      </c>
      <c r="AT63" s="39">
        <f t="shared" si="46"/>
        <v>496.98030325715786</v>
      </c>
      <c r="AU63" s="36">
        <f t="shared" si="47"/>
        <v>620.31935741461098</v>
      </c>
      <c r="AV63" s="36">
        <f t="shared" si="48"/>
        <v>14.497082038190941</v>
      </c>
      <c r="AW63" s="37">
        <f t="shared" si="49"/>
        <v>22.70510641368692</v>
      </c>
      <c r="AX63" s="40">
        <f t="shared" si="50"/>
        <v>485.41001018857128</v>
      </c>
      <c r="AY63" s="24">
        <f t="shared" si="51"/>
        <v>27.110666597629027</v>
      </c>
      <c r="AZ63" s="2">
        <f t="shared" si="52"/>
        <v>758.58396623523879</v>
      </c>
      <c r="BA63" s="2">
        <f t="shared" si="53"/>
        <v>515.72308169759344</v>
      </c>
      <c r="BB63" s="44">
        <f t="shared" si="54"/>
        <v>515.72308169759344</v>
      </c>
    </row>
    <row r="64" spans="1:54" x14ac:dyDescent="0.25">
      <c r="A64">
        <f t="shared" si="3"/>
        <v>264</v>
      </c>
      <c r="B64">
        <v>4.4000000000000004</v>
      </c>
      <c r="C64" s="2">
        <f t="shared" si="55"/>
        <v>593.08154395223244</v>
      </c>
      <c r="D64" s="2">
        <f t="shared" si="4"/>
        <v>16.163612800710681</v>
      </c>
      <c r="E64" s="2">
        <f t="shared" si="5"/>
        <v>640.05859229328416</v>
      </c>
      <c r="F64" s="25">
        <f t="shared" si="6"/>
        <v>34.173950908965999</v>
      </c>
      <c r="G64">
        <f t="shared" si="7"/>
        <v>2.9823671223370772E-5</v>
      </c>
      <c r="H64">
        <f t="shared" si="8"/>
        <v>5.1995984028042928E-5</v>
      </c>
      <c r="I64" s="3">
        <f t="shared" si="9"/>
        <v>5.4573122770924822E-5</v>
      </c>
      <c r="J64" s="28">
        <f t="shared" si="10"/>
        <v>0.14610772343736875</v>
      </c>
      <c r="K64" s="24">
        <f t="shared" si="11"/>
        <v>21.394162680578567</v>
      </c>
      <c r="L64" s="24">
        <f t="shared" si="12"/>
        <v>14.857251206177054</v>
      </c>
      <c r="M64" s="39">
        <f t="shared" si="13"/>
        <v>411.93953845027943</v>
      </c>
      <c r="N64" s="40">
        <f t="shared" si="14"/>
        <v>227.56393350237553</v>
      </c>
      <c r="O64" s="32">
        <f t="shared" si="15"/>
        <v>609.12818738572162</v>
      </c>
      <c r="P64" s="32">
        <f t="shared" si="16"/>
        <v>12.345821120974392</v>
      </c>
      <c r="Q64" s="33">
        <f t="shared" si="17"/>
        <v>26.656474897394418</v>
      </c>
      <c r="R64" s="33">
        <f t="shared" si="18"/>
        <v>27.100261382399601</v>
      </c>
      <c r="S64" s="39">
        <f t="shared" si="19"/>
        <v>789.54979727503769</v>
      </c>
      <c r="T64" s="36">
        <f t="shared" si="20"/>
        <v>603.10117015702031</v>
      </c>
      <c r="U64" s="36">
        <f t="shared" si="21"/>
        <v>9.2146736779013523</v>
      </c>
      <c r="V64" s="37">
        <f t="shared" si="22"/>
        <v>35.360973377047294</v>
      </c>
      <c r="W64" s="40">
        <f t="shared" si="23"/>
        <v>620.9797631318803</v>
      </c>
      <c r="X64" s="32">
        <f t="shared" si="24"/>
        <v>772.92323920709873</v>
      </c>
      <c r="Y64" s="32">
        <f t="shared" si="25"/>
        <v>21.135334491863865</v>
      </c>
      <c r="Z64" s="33">
        <f t="shared" si="26"/>
        <v>19.757920790687134</v>
      </c>
      <c r="AA64" s="33">
        <f t="shared" si="27"/>
        <v>12.91689374626791</v>
      </c>
      <c r="AB64" s="39">
        <f t="shared" si="28"/>
        <v>296.57631550958973</v>
      </c>
      <c r="AC64" s="36">
        <f t="shared" si="29"/>
        <v>650.948409562454</v>
      </c>
      <c r="AD64" s="36">
        <f t="shared" si="30"/>
        <v>16.816918975611522</v>
      </c>
      <c r="AE64" s="37">
        <f t="shared" si="31"/>
        <v>20.912894121014393</v>
      </c>
      <c r="AF64" s="40">
        <f t="shared" si="32"/>
        <v>442.45184652510227</v>
      </c>
      <c r="AG64" s="32">
        <f t="shared" si="33"/>
        <v>606.38655122481521</v>
      </c>
      <c r="AH64" s="32">
        <f t="shared" si="34"/>
        <v>10.297503540622102</v>
      </c>
      <c r="AI64" s="33">
        <f t="shared" si="35"/>
        <v>31.814976805129628</v>
      </c>
      <c r="AJ64" s="33">
        <f t="shared" si="36"/>
        <v>51.406010896911098</v>
      </c>
      <c r="AK64" s="39">
        <f t="shared" si="37"/>
        <v>1504.454601096437</v>
      </c>
      <c r="AL64" s="36">
        <f t="shared" si="38"/>
        <v>610.91334676915369</v>
      </c>
      <c r="AM64" s="36">
        <f t="shared" si="39"/>
        <v>12.937429861603398</v>
      </c>
      <c r="AN64" s="37">
        <f t="shared" si="40"/>
        <v>25.512064558379528</v>
      </c>
      <c r="AO64" s="40">
        <f t="shared" si="41"/>
        <v>520.71333781843589</v>
      </c>
      <c r="AP64" s="32">
        <f t="shared" si="42"/>
        <v>3345.8391315820845</v>
      </c>
      <c r="AQ64" s="32">
        <f t="shared" si="43"/>
        <v>46.523641026481698</v>
      </c>
      <c r="AR64" s="33">
        <f t="shared" si="44"/>
        <v>38.854861058639706</v>
      </c>
      <c r="AS64" s="33">
        <f t="shared" si="45"/>
        <v>112.13461915014652</v>
      </c>
      <c r="AT64" s="39">
        <f t="shared" si="46"/>
        <v>594.77047257606603</v>
      </c>
      <c r="AU64" s="36">
        <f t="shared" si="47"/>
        <v>620.78223098890135</v>
      </c>
      <c r="AV64" s="36">
        <f t="shared" si="48"/>
        <v>14.550199635415627</v>
      </c>
      <c r="AW64" s="37">
        <f t="shared" si="49"/>
        <v>23.050710984798265</v>
      </c>
      <c r="AX64" s="40">
        <f t="shared" si="50"/>
        <v>487.0890855130375</v>
      </c>
      <c r="AY64" s="24">
        <f t="shared" si="51"/>
        <v>27.740109574136294</v>
      </c>
      <c r="AZ64" s="2">
        <f t="shared" si="52"/>
        <v>796.33779661428264</v>
      </c>
      <c r="BA64" s="2">
        <f t="shared" si="53"/>
        <v>517.80850824711399</v>
      </c>
      <c r="BB64" s="44">
        <f t="shared" si="54"/>
        <v>517.80850824711399</v>
      </c>
    </row>
    <row r="65" spans="1:54" x14ac:dyDescent="0.25">
      <c r="A65">
        <f t="shared" si="3"/>
        <v>270</v>
      </c>
      <c r="B65">
        <v>4.5</v>
      </c>
      <c r="C65" s="2">
        <f t="shared" si="55"/>
        <v>595.4797844841811</v>
      </c>
      <c r="D65" s="2">
        <f t="shared" si="4"/>
        <v>16.219088629403117</v>
      </c>
      <c r="E65" s="2">
        <f t="shared" si="5"/>
        <v>640.91128895901898</v>
      </c>
      <c r="F65" s="25">
        <f t="shared" si="6"/>
        <v>34.87748889677556</v>
      </c>
      <c r="G65">
        <f t="shared" si="7"/>
        <v>2.9521341867160812E-5</v>
      </c>
      <c r="H65">
        <f t="shared" si="8"/>
        <v>5.1468888880736481E-5</v>
      </c>
      <c r="I65" s="3">
        <f t="shared" si="9"/>
        <v>5.4309575197271592E-5</v>
      </c>
      <c r="J65" s="28">
        <f t="shared" si="10"/>
        <v>0.14492161552860514</v>
      </c>
      <c r="K65" s="24">
        <f t="shared" si="11"/>
        <v>21.729158706637101</v>
      </c>
      <c r="L65" s="24">
        <f t="shared" si="12"/>
        <v>15.346553619726173</v>
      </c>
      <c r="M65" s="39">
        <f t="shared" si="13"/>
        <v>423.53575170152584</v>
      </c>
      <c r="N65" s="40">
        <f t="shared" si="14"/>
        <v>228.2766257718695</v>
      </c>
      <c r="O65" s="32">
        <f t="shared" si="15"/>
        <v>609.70677524695179</v>
      </c>
      <c r="P65" s="32">
        <f t="shared" si="16"/>
        <v>12.568205450966001</v>
      </c>
      <c r="Q65" s="33">
        <f t="shared" si="17"/>
        <v>26.675906547553616</v>
      </c>
      <c r="R65" s="33">
        <f t="shared" si="18"/>
        <v>27.166182257052789</v>
      </c>
      <c r="S65" s="39">
        <f t="shared" si="19"/>
        <v>788.1061657476389</v>
      </c>
      <c r="T65" s="36">
        <f t="shared" si="20"/>
        <v>603.15667998610127</v>
      </c>
      <c r="U65" s="36">
        <f t="shared" si="21"/>
        <v>9.225310905266209</v>
      </c>
      <c r="V65" s="37">
        <f t="shared" si="22"/>
        <v>35.951794141541505</v>
      </c>
      <c r="W65" s="40">
        <f t="shared" si="23"/>
        <v>624.01933680704053</v>
      </c>
      <c r="X65" s="32">
        <f t="shared" si="24"/>
        <v>771.38895275483173</v>
      </c>
      <c r="Y65" s="32">
        <f t="shared" si="25"/>
        <v>21.095649426723597</v>
      </c>
      <c r="Z65" s="33">
        <f t="shared" si="26"/>
        <v>20.107216448832901</v>
      </c>
      <c r="AA65" s="33">
        <f t="shared" si="27"/>
        <v>13.272296027897283</v>
      </c>
      <c r="AB65" s="39">
        <f t="shared" si="28"/>
        <v>304.33351427343922</v>
      </c>
      <c r="AC65" s="36">
        <f t="shared" si="29"/>
        <v>652.26776598483957</v>
      </c>
      <c r="AD65" s="36">
        <f t="shared" si="30"/>
        <v>16.889151373787044</v>
      </c>
      <c r="AE65" s="37">
        <f t="shared" si="31"/>
        <v>21.236821973925142</v>
      </c>
      <c r="AF65" s="40">
        <f t="shared" si="32"/>
        <v>443.49298194832107</v>
      </c>
      <c r="AG65" s="32">
        <f t="shared" si="33"/>
        <v>606.56925659396654</v>
      </c>
      <c r="AH65" s="32">
        <f t="shared" si="34"/>
        <v>10.425886654757416</v>
      </c>
      <c r="AI65" s="33">
        <f t="shared" si="35"/>
        <v>31.991811575363815</v>
      </c>
      <c r="AJ65" s="33">
        <f t="shared" si="36"/>
        <v>52.507864063243048</v>
      </c>
      <c r="AK65" s="39">
        <f t="shared" si="37"/>
        <v>1531.1618287051572</v>
      </c>
      <c r="AL65" s="36">
        <f t="shared" si="38"/>
        <v>610.99033654916889</v>
      </c>
      <c r="AM65" s="36">
        <f t="shared" si="39"/>
        <v>12.957984563151548</v>
      </c>
      <c r="AN65" s="37">
        <f t="shared" si="40"/>
        <v>25.927958382902514</v>
      </c>
      <c r="AO65" s="40">
        <f t="shared" si="41"/>
        <v>523.13975473923426</v>
      </c>
      <c r="AP65" s="32">
        <f t="shared" si="42"/>
        <v>3537.2467289834108</v>
      </c>
      <c r="AQ65" s="32">
        <f t="shared" si="43"/>
        <v>47.693922469542322</v>
      </c>
      <c r="AR65" s="33">
        <f t="shared" si="44"/>
        <v>40.782491088561514</v>
      </c>
      <c r="AS65" s="33">
        <f t="shared" si="45"/>
        <v>135.59716361508845</v>
      </c>
      <c r="AT65" s="39">
        <f t="shared" si="46"/>
        <v>678.05104209368073</v>
      </c>
      <c r="AU65" s="36">
        <f t="shared" si="47"/>
        <v>621.24709902737004</v>
      </c>
      <c r="AV65" s="36">
        <f t="shared" si="48"/>
        <v>14.602394665011895</v>
      </c>
      <c r="AW65" s="37">
        <f t="shared" si="49"/>
        <v>23.394390200995762</v>
      </c>
      <c r="AX65" s="40">
        <f t="shared" si="50"/>
        <v>488.71919452676804</v>
      </c>
      <c r="AY65" s="24">
        <f t="shared" si="51"/>
        <v>28.258548794959594</v>
      </c>
      <c r="AZ65" s="2">
        <f t="shared" si="52"/>
        <v>825.41313770497891</v>
      </c>
      <c r="BA65" s="2">
        <f t="shared" si="53"/>
        <v>519.84281700534098</v>
      </c>
      <c r="BB65" s="44">
        <f t="shared" si="54"/>
        <v>519.84281700534098</v>
      </c>
    </row>
    <row r="66" spans="1:54" x14ac:dyDescent="0.25">
      <c r="A66">
        <f t="shared" si="3"/>
        <v>276</v>
      </c>
      <c r="B66">
        <v>4.5999999999999996</v>
      </c>
      <c r="C66" s="2">
        <f t="shared" si="55"/>
        <v>597.81923955614207</v>
      </c>
      <c r="D66" s="2">
        <f t="shared" si="4"/>
        <v>16.273328776096335</v>
      </c>
      <c r="E66" s="2">
        <f t="shared" si="5"/>
        <v>641.75776699819585</v>
      </c>
      <c r="F66" s="25">
        <f t="shared" si="6"/>
        <v>35.580642616411097</v>
      </c>
      <c r="G66">
        <f t="shared" si="7"/>
        <v>2.9228182127782679E-5</v>
      </c>
      <c r="H66">
        <f t="shared" si="8"/>
        <v>5.095778047251256E-5</v>
      </c>
      <c r="I66" s="3">
        <f t="shared" si="9"/>
        <v>5.4054020993159638E-5</v>
      </c>
      <c r="J66" s="28">
        <f t="shared" si="10"/>
        <v>0.14376916002392942</v>
      </c>
      <c r="K66" s="24">
        <f t="shared" si="11"/>
        <v>22.062925094911577</v>
      </c>
      <c r="L66" s="24">
        <f t="shared" si="12"/>
        <v>15.867883411164541</v>
      </c>
      <c r="M66" s="39">
        <f t="shared" si="13"/>
        <v>435.91917408398768</v>
      </c>
      <c r="N66" s="40">
        <f t="shared" si="14"/>
        <v>228.97037215279227</v>
      </c>
      <c r="O66" s="32">
        <f t="shared" si="15"/>
        <v>610.45651143791849</v>
      </c>
      <c r="P66" s="32">
        <f t="shared" si="16"/>
        <v>12.809012184446299</v>
      </c>
      <c r="Q66" s="33">
        <f t="shared" si="17"/>
        <v>26.662903907696013</v>
      </c>
      <c r="R66" s="33">
        <f t="shared" si="18"/>
        <v>27.122052278357948</v>
      </c>
      <c r="S66" s="39">
        <f t="shared" si="19"/>
        <v>783.29602560385456</v>
      </c>
      <c r="T66" s="36">
        <f t="shared" si="20"/>
        <v>603.2101687702127</v>
      </c>
      <c r="U66" s="36">
        <f t="shared" si="21"/>
        <v>9.2356762853668481</v>
      </c>
      <c r="V66" s="37">
        <f t="shared" si="22"/>
        <v>36.539980194922691</v>
      </c>
      <c r="W66" s="40">
        <f t="shared" si="23"/>
        <v>626.99542738629816</v>
      </c>
      <c r="X66" s="32">
        <f t="shared" si="24"/>
        <v>766.34615783787274</v>
      </c>
      <c r="Y66" s="32">
        <f t="shared" si="25"/>
        <v>20.96375680516995</v>
      </c>
      <c r="Z66" s="33">
        <f t="shared" si="26"/>
        <v>20.451455766198901</v>
      </c>
      <c r="AA66" s="33">
        <f t="shared" si="27"/>
        <v>13.652603655522469</v>
      </c>
      <c r="AB66" s="39">
        <f t="shared" si="28"/>
        <v>314.08601751543881</v>
      </c>
      <c r="AC66" s="36">
        <f t="shared" si="29"/>
        <v>653.58590448570021</v>
      </c>
      <c r="AD66" s="36">
        <f t="shared" si="30"/>
        <v>16.960075675722706</v>
      </c>
      <c r="AE66" s="37">
        <f t="shared" si="31"/>
        <v>21.559726511899392</v>
      </c>
      <c r="AF66" s="40">
        <f t="shared" si="32"/>
        <v>444.49596221298452</v>
      </c>
      <c r="AG66" s="32">
        <f t="shared" si="33"/>
        <v>606.77072044160866</v>
      </c>
      <c r="AH66" s="32">
        <f t="shared" si="34"/>
        <v>10.589204987667145</v>
      </c>
      <c r="AI66" s="33">
        <f t="shared" si="35"/>
        <v>32.057497427284524</v>
      </c>
      <c r="AJ66" s="33">
        <f t="shared" si="36"/>
        <v>52.922140420781872</v>
      </c>
      <c r="AK66" s="39">
        <f t="shared" si="37"/>
        <v>1537.6974340178542</v>
      </c>
      <c r="AL66" s="36">
        <f t="shared" si="38"/>
        <v>611.0656223086628</v>
      </c>
      <c r="AM66" s="36">
        <f t="shared" si="39"/>
        <v>12.977808945676355</v>
      </c>
      <c r="AN66" s="37">
        <f t="shared" si="40"/>
        <v>26.342369123130442</v>
      </c>
      <c r="AO66" s="40">
        <f t="shared" si="41"/>
        <v>525.5190185971328</v>
      </c>
      <c r="AP66" s="32">
        <f t="shared" si="42"/>
        <v>3585.4098584142789</v>
      </c>
      <c r="AQ66" s="32">
        <f t="shared" si="43"/>
        <v>47.982738866208372</v>
      </c>
      <c r="AR66" s="33">
        <f t="shared" si="44"/>
        <v>41.80441304248351</v>
      </c>
      <c r="AS66" s="33">
        <f t="shared" si="45"/>
        <v>149.3860576026164</v>
      </c>
      <c r="AT66" s="39">
        <f t="shared" si="46"/>
        <v>734.56353012393345</v>
      </c>
      <c r="AU66" s="36">
        <f t="shared" si="47"/>
        <v>621.713836935529</v>
      </c>
      <c r="AV66" s="36">
        <f t="shared" si="48"/>
        <v>14.653703438385532</v>
      </c>
      <c r="AW66" s="37">
        <f t="shared" si="49"/>
        <v>23.736216300180445</v>
      </c>
      <c r="AX66" s="40">
        <f t="shared" si="50"/>
        <v>490.30247574440432</v>
      </c>
      <c r="AY66" s="24">
        <f t="shared" si="51"/>
        <v>28.644320284224488</v>
      </c>
      <c r="AZ66" s="2">
        <f t="shared" si="52"/>
        <v>842.41075181527026</v>
      </c>
      <c r="BA66" s="2">
        <f t="shared" si="53"/>
        <v>521.82822098520501</v>
      </c>
      <c r="BB66" s="44">
        <f t="shared" si="54"/>
        <v>521.82822098520501</v>
      </c>
    </row>
    <row r="67" spans="1:54" x14ac:dyDescent="0.25">
      <c r="A67">
        <f t="shared" si="3"/>
        <v>282</v>
      </c>
      <c r="B67">
        <v>4.7</v>
      </c>
      <c r="C67" s="2">
        <f t="shared" si="55"/>
        <v>600.10245413298571</v>
      </c>
      <c r="D67" s="2">
        <f t="shared" si="4"/>
        <v>16.326383200697961</v>
      </c>
      <c r="E67" s="2">
        <f t="shared" si="5"/>
        <v>642.59800414410302</v>
      </c>
      <c r="F67" s="25">
        <f t="shared" si="6"/>
        <v>36.283440855435757</v>
      </c>
      <c r="G67">
        <f t="shared" si="7"/>
        <v>2.8943727839437236E-5</v>
      </c>
      <c r="H67">
        <f t="shared" si="8"/>
        <v>5.0461849554996017E-5</v>
      </c>
      <c r="I67" s="3">
        <f t="shared" si="9"/>
        <v>5.3806055534401364E-5</v>
      </c>
      <c r="J67" s="28">
        <f t="shared" si="10"/>
        <v>0.14264871509912358</v>
      </c>
      <c r="K67" s="24">
        <f t="shared" si="11"/>
        <v>22.395508008046246</v>
      </c>
      <c r="L67" s="24">
        <f t="shared" si="12"/>
        <v>16.422116019716832</v>
      </c>
      <c r="M67" s="39">
        <f t="shared" si="13"/>
        <v>449.10390116819957</v>
      </c>
      <c r="N67" s="40">
        <f t="shared" si="14"/>
        <v>229.64603118864974</v>
      </c>
      <c r="O67" s="32">
        <f t="shared" si="15"/>
        <v>611.42589001415604</v>
      </c>
      <c r="P67" s="32">
        <f t="shared" si="16"/>
        <v>13.069176626770075</v>
      </c>
      <c r="Q67" s="33">
        <f t="shared" si="17"/>
        <v>26.619943453150555</v>
      </c>
      <c r="R67" s="33">
        <f t="shared" si="18"/>
        <v>26.976799218494946</v>
      </c>
      <c r="S67" s="39">
        <f t="shared" si="19"/>
        <v>775.36051178190121</v>
      </c>
      <c r="T67" s="36">
        <f t="shared" si="20"/>
        <v>603.26174909912072</v>
      </c>
      <c r="U67" s="36">
        <f t="shared" si="21"/>
        <v>9.2457817822483612</v>
      </c>
      <c r="V67" s="37">
        <f t="shared" si="22"/>
        <v>37.125617124346768</v>
      </c>
      <c r="W67" s="40">
        <f t="shared" si="23"/>
        <v>629.91058298020857</v>
      </c>
      <c r="X67" s="32">
        <f t="shared" si="24"/>
        <v>758.2577290889966</v>
      </c>
      <c r="Y67" s="32">
        <f t="shared" si="25"/>
        <v>20.747300165882017</v>
      </c>
      <c r="Z67" s="33">
        <f t="shared" si="26"/>
        <v>20.79537647835474</v>
      </c>
      <c r="AA67" s="33">
        <f t="shared" si="27"/>
        <v>14.063642874628357</v>
      </c>
      <c r="AB67" s="39">
        <f t="shared" si="28"/>
        <v>325.94030503481872</v>
      </c>
      <c r="AC67" s="36">
        <f t="shared" si="29"/>
        <v>654.90258128919413</v>
      </c>
      <c r="AD67" s="36">
        <f t="shared" si="30"/>
        <v>17.029740161430873</v>
      </c>
      <c r="AE67" s="37">
        <f t="shared" si="31"/>
        <v>21.881657308387361</v>
      </c>
      <c r="AF67" s="40">
        <f t="shared" si="32"/>
        <v>445.46260970553897</v>
      </c>
      <c r="AG67" s="32">
        <f t="shared" si="33"/>
        <v>606.98610985905157</v>
      </c>
      <c r="AH67" s="32">
        <f t="shared" si="34"/>
        <v>10.790589118839256</v>
      </c>
      <c r="AI67" s="33">
        <f t="shared" si="35"/>
        <v>32.007011697525868</v>
      </c>
      <c r="AJ67" s="33">
        <f t="shared" si="36"/>
        <v>52.603489109630999</v>
      </c>
      <c r="AK67" s="39">
        <f t="shared" si="37"/>
        <v>1522.9753783172903</v>
      </c>
      <c r="AL67" s="36">
        <f t="shared" si="38"/>
        <v>611.13922840517625</v>
      </c>
      <c r="AM67" s="36">
        <f t="shared" si="39"/>
        <v>12.99693651773989</v>
      </c>
      <c r="AN67" s="37">
        <f t="shared" si="40"/>
        <v>26.755353627347926</v>
      </c>
      <c r="AO67" s="40">
        <f t="shared" si="41"/>
        <v>527.85305485337142</v>
      </c>
      <c r="AP67" s="32">
        <f t="shared" si="42"/>
        <v>3477.6557892475062</v>
      </c>
      <c r="AQ67" s="32">
        <f t="shared" si="43"/>
        <v>47.333503048235563</v>
      </c>
      <c r="AR67" s="33">
        <f t="shared" si="44"/>
        <v>41.805120445948596</v>
      </c>
      <c r="AS67" s="33">
        <f t="shared" si="45"/>
        <v>149.39593800203841</v>
      </c>
      <c r="AT67" s="39">
        <f t="shared" si="46"/>
        <v>754.9345108490204</v>
      </c>
      <c r="AU67" s="36">
        <f t="shared" si="47"/>
        <v>622.18232775468516</v>
      </c>
      <c r="AV67" s="36">
        <f t="shared" si="48"/>
        <v>14.704160090862116</v>
      </c>
      <c r="AW67" s="37">
        <f t="shared" si="49"/>
        <v>24.076257556713205</v>
      </c>
      <c r="AX67" s="40">
        <f t="shared" si="50"/>
        <v>491.84093563889519</v>
      </c>
      <c r="AY67" s="24">
        <f t="shared" si="51"/>
        <v>28.883292211471876</v>
      </c>
      <c r="AZ67" s="2">
        <f t="shared" si="52"/>
        <v>844.80267649575762</v>
      </c>
      <c r="BA67" s="2">
        <f t="shared" si="53"/>
        <v>523.76679579450354</v>
      </c>
      <c r="BB67" s="44">
        <f t="shared" si="54"/>
        <v>523.76679579450354</v>
      </c>
    </row>
    <row r="68" spans="1:54" x14ac:dyDescent="0.25">
      <c r="A68">
        <f t="shared" si="3"/>
        <v>288</v>
      </c>
      <c r="B68">
        <v>4.8</v>
      </c>
      <c r="C68" s="2">
        <f t="shared" si="55"/>
        <v>602.33181516367904</v>
      </c>
      <c r="D68" s="2">
        <f t="shared" si="4"/>
        <v>16.3782989191611</v>
      </c>
      <c r="E68" s="2">
        <f t="shared" si="5"/>
        <v>643.43198830756933</v>
      </c>
      <c r="F68" s="25">
        <f t="shared" si="6"/>
        <v>36.985910418778531</v>
      </c>
      <c r="G68">
        <f t="shared" si="7"/>
        <v>2.8667547575599323E-5</v>
      </c>
      <c r="H68">
        <f t="shared" si="8"/>
        <v>4.9980343958994024E-5</v>
      </c>
      <c r="I68" s="3">
        <f t="shared" si="9"/>
        <v>5.3565302736400367E-5</v>
      </c>
      <c r="J68" s="28">
        <f t="shared" si="10"/>
        <v>0.14155875193994955</v>
      </c>
      <c r="K68" s="24">
        <f t="shared" si="11"/>
        <v>22.726950928920925</v>
      </c>
      <c r="L68" s="24">
        <f t="shared" si="12"/>
        <v>17.010117668096782</v>
      </c>
      <c r="M68" s="39">
        <f t="shared" si="13"/>
        <v>463.10365253118295</v>
      </c>
      <c r="N68" s="40">
        <f t="shared" si="14"/>
        <v>230.30440731677015</v>
      </c>
      <c r="O68" s="32">
        <f t="shared" si="15"/>
        <v>612.67413557344764</v>
      </c>
      <c r="P68" s="32">
        <f t="shared" si="16"/>
        <v>13.349685789318711</v>
      </c>
      <c r="Q68" s="33">
        <f t="shared" si="17"/>
        <v>26.550079270909404</v>
      </c>
      <c r="R68" s="33">
        <f t="shared" si="18"/>
        <v>26.74238515770476</v>
      </c>
      <c r="S68" s="39">
        <f t="shared" si="19"/>
        <v>764.61731636673323</v>
      </c>
      <c r="T68" s="36">
        <f t="shared" si="20"/>
        <v>603.31152526565006</v>
      </c>
      <c r="U68" s="36">
        <f t="shared" si="21"/>
        <v>9.2556386241814046</v>
      </c>
      <c r="V68" s="37">
        <f t="shared" si="22"/>
        <v>37.708786040593658</v>
      </c>
      <c r="W68" s="40">
        <f t="shared" si="23"/>
        <v>632.76720074424145</v>
      </c>
      <c r="X68" s="32">
        <f t="shared" si="24"/>
        <v>747.75757572300108</v>
      </c>
      <c r="Y68" s="32">
        <f t="shared" si="25"/>
        <v>20.456506020185408</v>
      </c>
      <c r="Z68" s="33">
        <f t="shared" si="26"/>
        <v>21.146411683264791</v>
      </c>
      <c r="AA68" s="33">
        <f t="shared" si="27"/>
        <v>14.516560959122508</v>
      </c>
      <c r="AB68" s="39">
        <f t="shared" si="28"/>
        <v>340.07637059268239</v>
      </c>
      <c r="AC68" s="36">
        <f t="shared" si="29"/>
        <v>656.21757228114598</v>
      </c>
      <c r="AD68" s="36">
        <f t="shared" si="30"/>
        <v>17.098190411090727</v>
      </c>
      <c r="AE68" s="37">
        <f t="shared" si="31"/>
        <v>22.202660890462266</v>
      </c>
      <c r="AF68" s="40">
        <f t="shared" si="32"/>
        <v>446.39463139078202</v>
      </c>
      <c r="AG68" s="32">
        <f t="shared" si="33"/>
        <v>607.22310997379782</v>
      </c>
      <c r="AH68" s="32">
        <f t="shared" si="34"/>
        <v>11.034851662977646</v>
      </c>
      <c r="AI68" s="33">
        <f t="shared" si="35"/>
        <v>31.833846040073386</v>
      </c>
      <c r="AJ68" s="33">
        <f t="shared" si="36"/>
        <v>51.522654589569257</v>
      </c>
      <c r="AK68" s="39">
        <f t="shared" si="37"/>
        <v>1486.3581738309629</v>
      </c>
      <c r="AL68" s="36">
        <f t="shared" si="38"/>
        <v>611.21118031233186</v>
      </c>
      <c r="AM68" s="36">
        <f t="shared" si="39"/>
        <v>13.015398749924017</v>
      </c>
      <c r="AN68" s="37">
        <f t="shared" si="40"/>
        <v>27.166965485597036</v>
      </c>
      <c r="AO68" s="40">
        <f t="shared" si="41"/>
        <v>530.14367152417401</v>
      </c>
      <c r="AP68" s="32">
        <f t="shared" si="42"/>
        <v>3221.0109453689015</v>
      </c>
      <c r="AQ68" s="32">
        <f t="shared" si="43"/>
        <v>45.739756221258141</v>
      </c>
      <c r="AR68" s="33">
        <f t="shared" si="44"/>
        <v>40.738560043268727</v>
      </c>
      <c r="AS68" s="33">
        <f t="shared" si="45"/>
        <v>135.02583958242781</v>
      </c>
      <c r="AT68" s="39">
        <f t="shared" si="46"/>
        <v>734.34175372183768</v>
      </c>
      <c r="AU68" s="36">
        <f t="shared" si="47"/>
        <v>622.65246159968206</v>
      </c>
      <c r="AV68" s="36">
        <f t="shared" si="48"/>
        <v>14.753796753887261</v>
      </c>
      <c r="AW68" s="37">
        <f t="shared" si="49"/>
        <v>24.414578575561194</v>
      </c>
      <c r="AX68" s="40">
        <f t="shared" si="50"/>
        <v>493.33645925757759</v>
      </c>
      <c r="AY68" s="24">
        <f t="shared" si="51"/>
        <v>28.970236003716309</v>
      </c>
      <c r="AZ68" s="2">
        <f t="shared" si="52"/>
        <v>831.34840362805403</v>
      </c>
      <c r="BA68" s="2">
        <f t="shared" si="53"/>
        <v>525.66049072919373</v>
      </c>
      <c r="BB68" s="44">
        <f t="shared" si="54"/>
        <v>525.66049072919373</v>
      </c>
    </row>
    <row r="69" spans="1:54" x14ac:dyDescent="0.25">
      <c r="A69">
        <f t="shared" si="3"/>
        <v>294</v>
      </c>
      <c r="B69">
        <v>4.9000000000000004</v>
      </c>
      <c r="C69" s="2">
        <f t="shared" si="55"/>
        <v>604.50956433857277</v>
      </c>
      <c r="D69" s="2">
        <f t="shared" si="4"/>
        <v>16.42912023162507</v>
      </c>
      <c r="E69" s="2">
        <f t="shared" si="5"/>
        <v>644.25971643403932</v>
      </c>
      <c r="F69" s="25">
        <f t="shared" si="6"/>
        <v>37.688076289769533</v>
      </c>
      <c r="G69">
        <f t="shared" si="7"/>
        <v>2.8399239708705176E-5</v>
      </c>
      <c r="H69">
        <f t="shared" si="8"/>
        <v>4.9512563468217489E-5</v>
      </c>
      <c r="I69" s="3">
        <f t="shared" si="9"/>
        <v>5.3331412491012099E-5</v>
      </c>
      <c r="J69" s="28">
        <f t="shared" si="10"/>
        <v>0.14049784477263741</v>
      </c>
      <c r="K69" s="24">
        <f t="shared" si="11"/>
        <v>23.057294867279154</v>
      </c>
      <c r="L69" s="24">
        <f t="shared" si="12"/>
        <v>17.632745915832963</v>
      </c>
      <c r="M69" s="39">
        <f t="shared" si="13"/>
        <v>477.93179530711154</v>
      </c>
      <c r="N69" s="40">
        <f t="shared" si="14"/>
        <v>230.94625522228014</v>
      </c>
      <c r="O69" s="32">
        <f t="shared" si="15"/>
        <v>614.27287055672139</v>
      </c>
      <c r="P69" s="32">
        <f t="shared" si="16"/>
        <v>13.651580800729199</v>
      </c>
      <c r="Q69" s="33">
        <f t="shared" si="17"/>
        <v>26.456968209530327</v>
      </c>
      <c r="R69" s="33">
        <f t="shared" si="18"/>
        <v>26.433425556202863</v>
      </c>
      <c r="S69" s="39">
        <f t="shared" si="19"/>
        <v>751.44822701870953</v>
      </c>
      <c r="T69" s="36">
        <f t="shared" si="20"/>
        <v>603.35959402081608</v>
      </c>
      <c r="U69" s="36">
        <f t="shared" si="21"/>
        <v>9.26525736165617</v>
      </c>
      <c r="V69" s="37">
        <f t="shared" si="22"/>
        <v>38.289563896343353</v>
      </c>
      <c r="W69" s="40">
        <f t="shared" si="23"/>
        <v>635.56753865904761</v>
      </c>
      <c r="X69" s="32">
        <f t="shared" si="24"/>
        <v>735.57552354555878</v>
      </c>
      <c r="Y69" s="32">
        <f t="shared" si="25"/>
        <v>20.103575293686823</v>
      </c>
      <c r="Z69" s="33">
        <f t="shared" si="26"/>
        <v>21.513726988001817</v>
      </c>
      <c r="AA69" s="33">
        <f t="shared" si="27"/>
        <v>15.028060819888296</v>
      </c>
      <c r="AB69" s="39">
        <f t="shared" si="28"/>
        <v>356.76531544006639</v>
      </c>
      <c r="AC69" s="36">
        <f t="shared" si="29"/>
        <v>657.53067142410873</v>
      </c>
      <c r="AD69" s="36">
        <f t="shared" si="30"/>
        <v>17.165469507039592</v>
      </c>
      <c r="AE69" s="37">
        <f t="shared" si="31"/>
        <v>22.522780977435733</v>
      </c>
      <c r="AF69" s="40">
        <f t="shared" si="32"/>
        <v>447.29362805775054</v>
      </c>
      <c r="AG69" s="32">
        <f t="shared" si="33"/>
        <v>607.51266301638361</v>
      </c>
      <c r="AH69" s="32">
        <f t="shared" si="34"/>
        <v>11.328988088993214</v>
      </c>
      <c r="AI69" s="33">
        <f t="shared" si="35"/>
        <v>31.53013998936996</v>
      </c>
      <c r="AJ69" s="33">
        <f t="shared" si="36"/>
        <v>49.672020901685741</v>
      </c>
      <c r="AK69" s="39">
        <f t="shared" si="37"/>
        <v>1427.7870748175517</v>
      </c>
      <c r="AL69" s="36">
        <f t="shared" si="38"/>
        <v>611.28150441283515</v>
      </c>
      <c r="AM69" s="36">
        <f t="shared" si="39"/>
        <v>13.033225232179042</v>
      </c>
      <c r="AN69" s="37">
        <f t="shared" si="40"/>
        <v>27.577255277053787</v>
      </c>
      <c r="AO69" s="40">
        <f t="shared" si="41"/>
        <v>532.39256856606119</v>
      </c>
      <c r="AP69" s="32">
        <f t="shared" si="42"/>
        <v>2843.1514289622446</v>
      </c>
      <c r="AQ69" s="32">
        <f t="shared" si="43"/>
        <v>43.25291950208824</v>
      </c>
      <c r="AR69" s="33">
        <f t="shared" si="44"/>
        <v>38.649710799671126</v>
      </c>
      <c r="AS69" s="33">
        <f t="shared" si="45"/>
        <v>109.82633372493309</v>
      </c>
      <c r="AT69" s="39">
        <f t="shared" si="46"/>
        <v>674.54891201514249</v>
      </c>
      <c r="AU69" s="36">
        <f t="shared" si="47"/>
        <v>623.12413514435991</v>
      </c>
      <c r="AV69" s="36">
        <f t="shared" si="48"/>
        <v>14.802643710439645</v>
      </c>
      <c r="AW69" s="37">
        <f t="shared" si="49"/>
        <v>24.751240559015649</v>
      </c>
      <c r="AX69" s="40">
        <f t="shared" si="50"/>
        <v>494.7908197886664</v>
      </c>
      <c r="AY69" s="24">
        <f t="shared" si="51"/>
        <v>28.911423337052717</v>
      </c>
      <c r="AZ69" s="2">
        <f t="shared" si="52"/>
        <v>802.63738232286755</v>
      </c>
      <c r="BA69" s="2">
        <f t="shared" si="53"/>
        <v>527.51113876788145</v>
      </c>
      <c r="BB69" s="44">
        <f t="shared" si="54"/>
        <v>527.51113876788145</v>
      </c>
    </row>
    <row r="70" spans="1:54" x14ac:dyDescent="0.25">
      <c r="A70">
        <f t="shared" si="3"/>
        <v>300</v>
      </c>
      <c r="B70">
        <v>5</v>
      </c>
      <c r="C70" s="2">
        <f t="shared" si="55"/>
        <v>606.63780958306359</v>
      </c>
      <c r="D70" s="2">
        <f t="shared" si="4"/>
        <v>16.478888928681943</v>
      </c>
      <c r="E70" s="2">
        <f t="shared" si="5"/>
        <v>645.0811934847402</v>
      </c>
      <c r="F70" s="25">
        <f t="shared" si="6"/>
        <v>38.389961775768064</v>
      </c>
      <c r="G70">
        <f t="shared" si="7"/>
        <v>2.8138429788415547E-5</v>
      </c>
      <c r="H70">
        <f t="shared" si="8"/>
        <v>4.9057855248422343E-5</v>
      </c>
      <c r="I70" s="3">
        <f t="shared" si="9"/>
        <v>5.310405838111453E-5</v>
      </c>
      <c r="J70" s="28">
        <f t="shared" si="10"/>
        <v>0.13946466195951809</v>
      </c>
      <c r="K70" s="24">
        <f t="shared" si="11"/>
        <v>23.386578546698626</v>
      </c>
      <c r="L70" s="24">
        <f t="shared" si="12"/>
        <v>18.290850164638925</v>
      </c>
      <c r="M70" s="39">
        <f t="shared" si="13"/>
        <v>493.60136569042533</v>
      </c>
      <c r="N70" s="40">
        <f t="shared" si="14"/>
        <v>231.57228376657034</v>
      </c>
      <c r="O70" s="32">
        <f t="shared" si="15"/>
        <v>616.30794729351214</v>
      </c>
      <c r="P70" s="32">
        <f t="shared" si="16"/>
        <v>13.975959263048251</v>
      </c>
      <c r="Q70" s="33">
        <f t="shared" si="17"/>
        <v>26.344889229103533</v>
      </c>
      <c r="R70" s="33">
        <f t="shared" si="18"/>
        <v>26.066728596520989</v>
      </c>
      <c r="S70" s="39">
        <f t="shared" si="19"/>
        <v>736.28440761158924</v>
      </c>
      <c r="T70" s="36">
        <f t="shared" si="20"/>
        <v>603.40604524752212</v>
      </c>
      <c r="U70" s="36">
        <f t="shared" si="21"/>
        <v>9.2746479198070091</v>
      </c>
      <c r="V70" s="37">
        <f t="shared" si="22"/>
        <v>38.868023776027819</v>
      </c>
      <c r="W70" s="40">
        <f t="shared" si="23"/>
        <v>638.31372617539216</v>
      </c>
      <c r="X70" s="32">
        <f t="shared" si="24"/>
        <v>722.45972723761315</v>
      </c>
      <c r="Y70" s="32">
        <f t="shared" si="25"/>
        <v>19.701997846335637</v>
      </c>
      <c r="Z70" s="33">
        <f t="shared" si="26"/>
        <v>21.90703542428394</v>
      </c>
      <c r="AA70" s="33">
        <f t="shared" si="27"/>
        <v>15.620113174296812</v>
      </c>
      <c r="AB70" s="39">
        <f t="shared" si="28"/>
        <v>376.38072519391886</v>
      </c>
      <c r="AC70" s="36">
        <f t="shared" si="29"/>
        <v>658.8416893160188</v>
      </c>
      <c r="AD70" s="36">
        <f t="shared" si="30"/>
        <v>17.231618216910185</v>
      </c>
      <c r="AE70" s="37">
        <f t="shared" si="31"/>
        <v>22.842058696723203</v>
      </c>
      <c r="AF70" s="40">
        <f t="shared" si="32"/>
        <v>448.16110266601561</v>
      </c>
      <c r="AG70" s="32">
        <f t="shared" si="33"/>
        <v>607.9279130781581</v>
      </c>
      <c r="AH70" s="32">
        <f t="shared" si="34"/>
        <v>11.682678164736288</v>
      </c>
      <c r="AI70" s="33">
        <f t="shared" si="35"/>
        <v>31.087794081917089</v>
      </c>
      <c r="AJ70" s="33">
        <f t="shared" si="36"/>
        <v>47.077489925488408</v>
      </c>
      <c r="AK70" s="39">
        <f t="shared" si="37"/>
        <v>1348.087419701211</v>
      </c>
      <c r="AL70" s="36">
        <f t="shared" si="38"/>
        <v>611.35022781519433</v>
      </c>
      <c r="AM70" s="36">
        <f t="shared" si="39"/>
        <v>13.050443816339847</v>
      </c>
      <c r="AN70" s="37">
        <f t="shared" si="40"/>
        <v>27.986270794198834</v>
      </c>
      <c r="AO70" s="40">
        <f t="shared" si="41"/>
        <v>534.60134634169708</v>
      </c>
      <c r="AP70" s="32">
        <f t="shared" si="42"/>
        <v>2390.2398313217918</v>
      </c>
      <c r="AQ70" s="32">
        <f t="shared" si="43"/>
        <v>39.992423002420587</v>
      </c>
      <c r="AR70" s="33">
        <f t="shared" si="44"/>
        <v>35.7062298981377</v>
      </c>
      <c r="AS70" s="33">
        <f t="shared" si="45"/>
        <v>80.457224091237947</v>
      </c>
      <c r="AT70" s="39">
        <f t="shared" si="46"/>
        <v>585.97677960337353</v>
      </c>
      <c r="AU70" s="36">
        <f t="shared" si="47"/>
        <v>623.59725115028436</v>
      </c>
      <c r="AV70" s="36">
        <f t="shared" si="48"/>
        <v>14.850729535591444</v>
      </c>
      <c r="AW70" s="37">
        <f t="shared" si="49"/>
        <v>25.086301549041661</v>
      </c>
      <c r="AX70" s="40">
        <f t="shared" si="50"/>
        <v>496.20568720082588</v>
      </c>
      <c r="AY70" s="24">
        <f t="shared" si="51"/>
        <v>28.728575431179223</v>
      </c>
      <c r="AZ70" s="2">
        <f t="shared" si="52"/>
        <v>761.68233302752321</v>
      </c>
      <c r="BA70" s="2">
        <f t="shared" si="53"/>
        <v>529.32046559598268</v>
      </c>
      <c r="BB70" s="44">
        <f t="shared" si="54"/>
        <v>529.32046559598268</v>
      </c>
    </row>
    <row r="71" spans="1:54" x14ac:dyDescent="0.25">
      <c r="C71" s="2"/>
      <c r="D71" s="2"/>
      <c r="E71" s="2"/>
      <c r="F71" s="25"/>
      <c r="I71" s="3"/>
      <c r="J71" s="28"/>
      <c r="K71" s="24"/>
      <c r="L71" s="24"/>
      <c r="M71" s="39"/>
      <c r="N71" s="40"/>
      <c r="O71" s="32"/>
      <c r="P71" s="32"/>
      <c r="Q71" s="33"/>
      <c r="R71" s="33"/>
      <c r="S71" s="39"/>
      <c r="T71" s="36"/>
      <c r="U71" s="36"/>
      <c r="V71" s="37"/>
      <c r="W71" s="40"/>
      <c r="X71" s="32"/>
      <c r="Y71" s="32"/>
      <c r="Z71" s="33"/>
      <c r="AA71" s="33"/>
      <c r="AB71" s="39"/>
      <c r="AC71" s="36"/>
      <c r="AD71" s="36"/>
      <c r="AE71" s="37"/>
      <c r="AF71" s="40"/>
      <c r="AG71" s="32"/>
      <c r="AH71" s="32"/>
      <c r="AI71" s="33"/>
      <c r="AJ71" s="33"/>
      <c r="AK71" s="39"/>
      <c r="AL71" s="36"/>
      <c r="AM71" s="36"/>
      <c r="AN71" s="37"/>
      <c r="AO71" s="40"/>
      <c r="AP71" s="32"/>
      <c r="AQ71" s="32"/>
      <c r="AR71" s="33"/>
      <c r="AS71" s="33"/>
      <c r="AT71" s="39"/>
      <c r="AU71" s="36"/>
      <c r="AV71" s="36"/>
      <c r="AW71" s="37"/>
      <c r="AX71" s="40"/>
      <c r="AY71" s="24"/>
      <c r="AZ71" s="2"/>
      <c r="BA71" s="2"/>
      <c r="BB71" s="44"/>
    </row>
    <row r="72" spans="1:54" x14ac:dyDescent="0.25">
      <c r="C72" s="2"/>
      <c r="D72" s="2"/>
      <c r="E72" s="2"/>
      <c r="F72" s="25"/>
      <c r="I72" s="3"/>
      <c r="J72" s="28"/>
      <c r="K72" s="24"/>
      <c r="L72" s="24"/>
      <c r="M72" s="39"/>
      <c r="N72" s="40"/>
      <c r="O72" s="32"/>
      <c r="P72" s="32"/>
      <c r="Q72" s="33"/>
      <c r="R72" s="33"/>
      <c r="S72" s="39"/>
      <c r="T72" s="36"/>
      <c r="U72" s="36"/>
      <c r="V72" s="37"/>
      <c r="W72" s="40"/>
      <c r="X72" s="32"/>
      <c r="Y72" s="32"/>
      <c r="Z72" s="33"/>
      <c r="AA72" s="33"/>
      <c r="AB72" s="39"/>
      <c r="AC72" s="36"/>
      <c r="AD72" s="36"/>
      <c r="AE72" s="37"/>
      <c r="AF72" s="40"/>
      <c r="AG72" s="32"/>
      <c r="AH72" s="32"/>
      <c r="AI72" s="33"/>
      <c r="AJ72" s="33"/>
      <c r="AK72" s="39"/>
      <c r="AL72" s="36"/>
      <c r="AM72" s="36"/>
      <c r="AN72" s="37"/>
      <c r="AO72" s="40"/>
      <c r="AP72" s="32"/>
      <c r="AQ72" s="32"/>
      <c r="AR72" s="33"/>
      <c r="AS72" s="33"/>
      <c r="AT72" s="39"/>
      <c r="AU72" s="36"/>
      <c r="AV72" s="36"/>
      <c r="AW72" s="37"/>
      <c r="AX72" s="40"/>
      <c r="AY72" s="24"/>
      <c r="AZ72" s="2"/>
      <c r="BA72" s="2"/>
      <c r="BB72" s="44"/>
    </row>
    <row r="73" spans="1:54" x14ac:dyDescent="0.25">
      <c r="C73" s="2"/>
      <c r="D73" s="2"/>
      <c r="E73" s="2"/>
      <c r="F73" s="25"/>
      <c r="I73" s="3"/>
      <c r="J73" s="28"/>
      <c r="K73" s="24"/>
      <c r="L73" s="24"/>
      <c r="M73" s="39"/>
      <c r="N73" s="40"/>
      <c r="O73" s="32"/>
      <c r="P73" s="32"/>
      <c r="Q73" s="33"/>
      <c r="R73" s="33"/>
      <c r="S73" s="39"/>
      <c r="T73" s="36"/>
      <c r="U73" s="36"/>
      <c r="V73" s="37"/>
      <c r="W73" s="40"/>
      <c r="X73" s="32"/>
      <c r="Y73" s="32"/>
      <c r="Z73" s="33"/>
      <c r="AA73" s="33"/>
      <c r="AB73" s="39"/>
      <c r="AC73" s="36"/>
      <c r="AD73" s="36"/>
      <c r="AE73" s="37"/>
      <c r="AF73" s="40"/>
      <c r="AG73" s="32"/>
      <c r="AH73" s="32"/>
      <c r="AI73" s="33"/>
      <c r="AJ73" s="33"/>
      <c r="AK73" s="39"/>
      <c r="AL73" s="36"/>
      <c r="AM73" s="36"/>
      <c r="AN73" s="37"/>
      <c r="AO73" s="40"/>
      <c r="AP73" s="32"/>
      <c r="AQ73" s="32"/>
      <c r="AR73" s="33"/>
      <c r="AS73" s="33"/>
      <c r="AT73" s="39"/>
      <c r="AU73" s="36"/>
      <c r="AV73" s="36"/>
      <c r="AW73" s="37"/>
      <c r="AX73" s="40"/>
      <c r="AY73" s="24"/>
      <c r="AZ73" s="2"/>
      <c r="BA73" s="2"/>
      <c r="BB73" s="44"/>
    </row>
    <row r="74" spans="1:54" x14ac:dyDescent="0.25">
      <c r="C74" s="2"/>
      <c r="D74" s="2"/>
      <c r="E74" s="2"/>
      <c r="F74" s="25"/>
      <c r="I74" s="3"/>
      <c r="J74" s="28"/>
      <c r="K74" s="24"/>
      <c r="L74" s="24"/>
      <c r="M74" s="39"/>
      <c r="N74" s="40"/>
      <c r="O74" s="32"/>
      <c r="P74" s="32"/>
      <c r="Q74" s="33"/>
      <c r="R74" s="33"/>
      <c r="S74" s="39"/>
      <c r="T74" s="36"/>
      <c r="U74" s="36"/>
      <c r="V74" s="37"/>
      <c r="W74" s="40"/>
      <c r="X74" s="32"/>
      <c r="Y74" s="32"/>
      <c r="Z74" s="33"/>
      <c r="AA74" s="33"/>
      <c r="AB74" s="39"/>
      <c r="AC74" s="36"/>
      <c r="AD74" s="36"/>
      <c r="AE74" s="37"/>
      <c r="AF74" s="40"/>
      <c r="AG74" s="32"/>
      <c r="AH74" s="32"/>
      <c r="AI74" s="33"/>
      <c r="AJ74" s="33"/>
      <c r="AK74" s="39"/>
      <c r="AL74" s="36"/>
      <c r="AM74" s="36"/>
      <c r="AN74" s="37"/>
      <c r="AO74" s="40"/>
      <c r="AP74" s="32"/>
      <c r="AQ74" s="32"/>
      <c r="AR74" s="33"/>
      <c r="AS74" s="33"/>
      <c r="AT74" s="39"/>
      <c r="AU74" s="36"/>
      <c r="AV74" s="36"/>
      <c r="AW74" s="37"/>
      <c r="AX74" s="40"/>
      <c r="AY74" s="24"/>
      <c r="AZ74" s="2"/>
      <c r="BA74" s="2"/>
      <c r="BB74" s="44"/>
    </row>
  </sheetData>
  <conditionalFormatting sqref="J21:J7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{A9FE72DE-CAD8-40AC-BE6C-2622426BBCCD}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FE72DE-CAD8-40AC-BE6C-2622426BBC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J21:J70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7504-C8B9-4800-B216-2CFF424574E2}">
  <dimension ref="A2:BI76"/>
  <sheetViews>
    <sheetView topLeftCell="S1" zoomScale="120" zoomScaleNormal="120" workbookViewId="0">
      <selection activeCell="E20" sqref="E20"/>
    </sheetView>
  </sheetViews>
  <sheetFormatPr defaultRowHeight="15" x14ac:dyDescent="0.25"/>
  <cols>
    <col min="1" max="1" width="23.85546875" customWidth="1"/>
    <col min="2" max="2" width="11" customWidth="1"/>
    <col min="3" max="3" width="12" customWidth="1"/>
    <col min="4" max="4" width="11.5703125" customWidth="1"/>
    <col min="7" max="7" width="11.85546875" bestFit="1" customWidth="1"/>
    <col min="8" max="8" width="14.28515625" customWidth="1"/>
    <col min="9" max="9" width="16.5703125" customWidth="1"/>
    <col min="10" max="10" width="12.28515625" customWidth="1"/>
    <col min="13" max="13" width="13.85546875" customWidth="1"/>
    <col min="16" max="16" width="12.140625" customWidth="1"/>
    <col min="19" max="19" width="12.28515625" customWidth="1"/>
    <col min="21" max="21" width="11.5703125" customWidth="1"/>
    <col min="23" max="23" width="13.42578125" customWidth="1"/>
    <col min="45" max="45" width="15.42578125" bestFit="1" customWidth="1"/>
    <col min="54" max="54" width="13.140625" customWidth="1"/>
  </cols>
  <sheetData>
    <row r="2" spans="1:58" x14ac:dyDescent="0.25">
      <c r="A2" t="s">
        <v>6</v>
      </c>
      <c r="H2" t="s">
        <v>7</v>
      </c>
      <c r="I2">
        <v>500</v>
      </c>
    </row>
    <row r="3" spans="1:58" ht="15.75" thickBot="1" x14ac:dyDescent="0.3">
      <c r="H3" t="s">
        <v>8</v>
      </c>
      <c r="I3" t="s">
        <v>9</v>
      </c>
      <c r="J3" t="s">
        <v>10</v>
      </c>
      <c r="P3" t="s">
        <v>11</v>
      </c>
      <c r="Q3" t="s">
        <v>12</v>
      </c>
      <c r="R3">
        <v>0.05</v>
      </c>
    </row>
    <row r="4" spans="1:58" x14ac:dyDescent="0.25">
      <c r="A4" s="12" t="s">
        <v>13</v>
      </c>
      <c r="B4" s="15" t="s">
        <v>14</v>
      </c>
      <c r="C4" s="19">
        <f>35</f>
        <v>35</v>
      </c>
      <c r="D4" s="6" t="s">
        <v>15</v>
      </c>
      <c r="E4" s="7">
        <f>C4*PI()/180</f>
        <v>0.6108652381980153</v>
      </c>
      <c r="F4" s="8" t="s">
        <v>16</v>
      </c>
      <c r="G4" t="s">
        <v>12</v>
      </c>
      <c r="J4" t="s">
        <v>17</v>
      </c>
      <c r="K4" t="s">
        <v>18</v>
      </c>
      <c r="P4" t="s">
        <v>10</v>
      </c>
      <c r="Q4" t="s">
        <v>4</v>
      </c>
      <c r="BB4" s="20">
        <f>LN(BB5)</f>
        <v>0.20560778398805771</v>
      </c>
    </row>
    <row r="5" spans="1:58" x14ac:dyDescent="0.25">
      <c r="A5" s="13" t="s">
        <v>19</v>
      </c>
      <c r="B5" s="16" t="s">
        <v>20</v>
      </c>
      <c r="C5" s="26">
        <f>0</f>
        <v>0</v>
      </c>
      <c r="D5" t="s">
        <v>15</v>
      </c>
      <c r="E5" s="5">
        <f t="shared" ref="E5:E6" si="0">C5*PI()/180</f>
        <v>0</v>
      </c>
      <c r="F5" s="9" t="s">
        <v>16</v>
      </c>
      <c r="P5">
        <v>20</v>
      </c>
      <c r="Q5">
        <v>360</v>
      </c>
      <c r="BB5">
        <f t="array" ref="BB5:BC8">LOGEST(BB23:BB72,LN(A23:A72),TRUE,TRUE)</f>
        <v>1.2282713618132661</v>
      </c>
      <c r="BC5" s="20">
        <v>309.79323168790074</v>
      </c>
      <c r="BE5" s="20">
        <f t="array" ref="BE5:BF9">LINEST(BB23:BB72,LN(A23:A72),TRUE,TRUE)</f>
        <v>153.32176487981292</v>
      </c>
      <c r="BF5" s="20">
        <v>108.96621912155319</v>
      </c>
    </row>
    <row r="6" spans="1:58" x14ac:dyDescent="0.25">
      <c r="A6" s="13" t="s">
        <v>21</v>
      </c>
      <c r="B6" s="16" t="s">
        <v>5</v>
      </c>
      <c r="C6" s="26">
        <f>5</f>
        <v>5</v>
      </c>
      <c r="D6" t="s">
        <v>15</v>
      </c>
      <c r="E6" s="5">
        <f t="shared" si="0"/>
        <v>8.7266462599716474E-2</v>
      </c>
      <c r="F6" s="9" t="s">
        <v>16</v>
      </c>
      <c r="G6">
        <v>5.0000000000000001E-3</v>
      </c>
      <c r="H6">
        <v>49.53</v>
      </c>
      <c r="I6">
        <v>0.36</v>
      </c>
      <c r="J6" s="25">
        <f>$I$2^(1/I6)*(1/H6)^(1/I6)</f>
        <v>615.41959940443087</v>
      </c>
      <c r="K6" s="5">
        <f>J6/60</f>
        <v>10.256993323407182</v>
      </c>
      <c r="L6" s="2">
        <f>J6*1.666</f>
        <v>1025.2890526077817</v>
      </c>
      <c r="P6">
        <v>40</v>
      </c>
      <c r="Q6">
        <v>400</v>
      </c>
      <c r="BB6">
        <v>4.9869005492770273E-3</v>
      </c>
      <c r="BC6">
        <v>2.4305228916348391E-2</v>
      </c>
      <c r="BE6">
        <v>3.054569626461233</v>
      </c>
      <c r="BF6">
        <v>14.887406171119302</v>
      </c>
    </row>
    <row r="7" spans="1:58" ht="18" x14ac:dyDescent="0.35">
      <c r="A7" s="13" t="s">
        <v>22</v>
      </c>
      <c r="B7" s="17" t="s">
        <v>23</v>
      </c>
      <c r="C7" s="26">
        <v>2</v>
      </c>
      <c r="D7" t="s">
        <v>24</v>
      </c>
      <c r="E7" s="3">
        <f>C7*10^-6</f>
        <v>1.9999999999999999E-6</v>
      </c>
      <c r="F7" s="9" t="s">
        <v>0</v>
      </c>
      <c r="G7">
        <v>0.02</v>
      </c>
      <c r="H7">
        <v>60</v>
      </c>
      <c r="I7">
        <v>0.38279999999999997</v>
      </c>
      <c r="J7" s="25">
        <f>$I$2^(1/I7)*(1/H7)^(1/I7)</f>
        <v>254.37980983810058</v>
      </c>
      <c r="K7" s="5">
        <f>J7/60</f>
        <v>4.2396634973016765</v>
      </c>
      <c r="L7" s="2">
        <f t="shared" ref="L7:L10" si="1">J7*1.666</f>
        <v>423.79676319027556</v>
      </c>
      <c r="P7">
        <v>60</v>
      </c>
      <c r="Q7">
        <v>430</v>
      </c>
      <c r="BB7">
        <v>0.97253812519075233</v>
      </c>
      <c r="BC7">
        <v>3.2515972307663274E-2</v>
      </c>
      <c r="BE7">
        <v>0.98130448387872282</v>
      </c>
      <c r="BF7">
        <v>19.916639685193239</v>
      </c>
    </row>
    <row r="8" spans="1:58" ht="18" x14ac:dyDescent="0.35">
      <c r="A8" s="13" t="s">
        <v>25</v>
      </c>
      <c r="B8" s="17" t="s">
        <v>26</v>
      </c>
      <c r="C8" s="26">
        <f>(C7/2)/TAN(E6)</f>
        <v>11.430052302761343</v>
      </c>
      <c r="D8" t="s">
        <v>24</v>
      </c>
      <c r="E8" s="3">
        <f>C8*10^-6</f>
        <v>1.1430052302761342E-5</v>
      </c>
      <c r="F8" s="9" t="s">
        <v>0</v>
      </c>
      <c r="G8">
        <v>0.04</v>
      </c>
      <c r="H8">
        <v>84.31</v>
      </c>
      <c r="I8">
        <v>0.40100000000000002</v>
      </c>
      <c r="J8" s="25">
        <f>$I$2^(1/I8)*(1/H8)^(1/I8)</f>
        <v>84.704701978053649</v>
      </c>
      <c r="K8" s="5">
        <f t="shared" ref="K8:K10" si="2">J8/60</f>
        <v>1.4117450329675607</v>
      </c>
      <c r="L8" s="2">
        <f t="shared" si="1"/>
        <v>141.11803349543737</v>
      </c>
      <c r="P8">
        <v>80</v>
      </c>
      <c r="Q8">
        <v>470</v>
      </c>
      <c r="BB8">
        <v>1699.8777517344222</v>
      </c>
      <c r="BC8">
        <v>48</v>
      </c>
      <c r="BE8">
        <v>2519.4605444763156</v>
      </c>
      <c r="BF8">
        <v>48</v>
      </c>
    </row>
    <row r="9" spans="1:58" x14ac:dyDescent="0.25">
      <c r="A9" s="13" t="s">
        <v>27</v>
      </c>
      <c r="B9" s="17" t="s">
        <v>12</v>
      </c>
      <c r="C9" s="48">
        <v>0.25</v>
      </c>
      <c r="D9" t="s">
        <v>28</v>
      </c>
      <c r="E9" s="3">
        <f>C9*10^-3</f>
        <v>2.5000000000000001E-4</v>
      </c>
      <c r="F9" s="9" t="s">
        <v>0</v>
      </c>
      <c r="G9">
        <v>0.08</v>
      </c>
      <c r="H9">
        <v>151.4</v>
      </c>
      <c r="I9">
        <v>0.36899999999999999</v>
      </c>
      <c r="J9" s="25">
        <f>$I$2^(1/I9)*(1/H9)^(1/I9)</f>
        <v>25.473091222700901</v>
      </c>
      <c r="K9" s="5">
        <f t="shared" si="2"/>
        <v>0.42455152037834837</v>
      </c>
      <c r="L9" s="2">
        <f t="shared" si="1"/>
        <v>42.438169977019697</v>
      </c>
      <c r="P9">
        <v>100</v>
      </c>
      <c r="Q9">
        <v>490</v>
      </c>
      <c r="BE9">
        <v>999400.80441070406</v>
      </c>
      <c r="BF9">
        <v>19040.281744791086</v>
      </c>
    </row>
    <row r="10" spans="1:58" ht="18" x14ac:dyDescent="0.35">
      <c r="A10" s="13" t="s">
        <v>29</v>
      </c>
      <c r="B10" s="17" t="s">
        <v>30</v>
      </c>
      <c r="C10" s="21">
        <f>C9/SIN(E4)</f>
        <v>0.43586169890527454</v>
      </c>
      <c r="D10" t="s">
        <v>28</v>
      </c>
      <c r="E10" s="3">
        <f>C10*10^-3</f>
        <v>4.3586169890527454E-4</v>
      </c>
      <c r="F10" s="9" t="s">
        <v>0</v>
      </c>
      <c r="G10">
        <v>0.12</v>
      </c>
      <c r="H10">
        <v>160.72</v>
      </c>
      <c r="I10" s="5">
        <v>0.38600000000000001</v>
      </c>
      <c r="J10" s="25">
        <f>$I$2^(1/I10)*(1/H10)^(1/I10)</f>
        <v>18.920962021010727</v>
      </c>
      <c r="K10" s="5">
        <f t="shared" si="2"/>
        <v>0.31534936701684546</v>
      </c>
      <c r="L10" s="2">
        <f t="shared" si="1"/>
        <v>31.522322727003868</v>
      </c>
    </row>
    <row r="11" spans="1:58" x14ac:dyDescent="0.25">
      <c r="A11" s="13" t="s">
        <v>31</v>
      </c>
      <c r="B11" s="17" t="s">
        <v>32</v>
      </c>
      <c r="C11" s="26">
        <f>3</f>
        <v>3</v>
      </c>
      <c r="D11" t="s">
        <v>28</v>
      </c>
      <c r="E11" s="3">
        <f>C11*10^-3</f>
        <v>3.0000000000000001E-3</v>
      </c>
      <c r="F11" s="9" t="s">
        <v>0</v>
      </c>
      <c r="AY11" t="s">
        <v>33</v>
      </c>
      <c r="AZ11" t="s">
        <v>34</v>
      </c>
      <c r="BA11" t="s">
        <v>35</v>
      </c>
    </row>
    <row r="12" spans="1:58" ht="18" x14ac:dyDescent="0.35">
      <c r="A12" s="13" t="s">
        <v>86</v>
      </c>
      <c r="B12" s="17" t="s">
        <v>90</v>
      </c>
      <c r="C12" s="27">
        <f>SQRT(C13^2+C14^2)</f>
        <v>1372.399997317887</v>
      </c>
      <c r="D12" t="s">
        <v>38</v>
      </c>
      <c r="E12" s="50" t="s">
        <v>92</v>
      </c>
      <c r="F12" s="9"/>
      <c r="AY12">
        <v>1</v>
      </c>
      <c r="AZ12" s="2">
        <f>M23</f>
        <v>494.56254876764592</v>
      </c>
      <c r="BA12" s="2">
        <f>N23</f>
        <v>247.34210642864178</v>
      </c>
    </row>
    <row r="13" spans="1:58" x14ac:dyDescent="0.25">
      <c r="A13" s="13" t="s">
        <v>36</v>
      </c>
      <c r="B13" s="17" t="s">
        <v>88</v>
      </c>
      <c r="C13" s="27">
        <f>13.918*(C9*1000)^0.8162</f>
        <v>1261.175331056914</v>
      </c>
      <c r="D13" t="s">
        <v>38</v>
      </c>
      <c r="E13" s="3"/>
      <c r="F13" s="9"/>
      <c r="AY13">
        <v>2</v>
      </c>
      <c r="AZ13" s="2">
        <f>S23</f>
        <v>335.04274899881506</v>
      </c>
      <c r="BA13" s="2">
        <f>W23</f>
        <v>465.88130823030667</v>
      </c>
    </row>
    <row r="14" spans="1:58" x14ac:dyDescent="0.25">
      <c r="A14" s="13" t="s">
        <v>87</v>
      </c>
      <c r="B14" s="17" t="s">
        <v>89</v>
      </c>
      <c r="C14" s="27">
        <f>15.371*(C9*1000)^0.645</f>
        <v>541.21949056886319</v>
      </c>
      <c r="D14" t="s">
        <v>38</v>
      </c>
      <c r="E14" s="3"/>
      <c r="F14" s="9"/>
      <c r="AY14">
        <v>3</v>
      </c>
      <c r="AZ14" s="2">
        <f>AB23</f>
        <v>409.09408519899546</v>
      </c>
      <c r="BA14" s="2">
        <f>AF23</f>
        <v>389.74120535546854</v>
      </c>
    </row>
    <row r="15" spans="1:58" ht="18.75" thickBot="1" x14ac:dyDescent="0.4">
      <c r="A15" s="14" t="s">
        <v>39</v>
      </c>
      <c r="B15" s="18" t="s">
        <v>40</v>
      </c>
      <c r="C15" s="26">
        <v>180</v>
      </c>
      <c r="D15" s="10" t="s">
        <v>41</v>
      </c>
      <c r="E15" s="10"/>
      <c r="F15" s="11"/>
      <c r="AY15">
        <v>4</v>
      </c>
      <c r="AZ15" s="2">
        <f>AK23</f>
        <v>373.16170419067424</v>
      </c>
      <c r="BA15" s="2">
        <f>AO23</f>
        <v>414.74998626166621</v>
      </c>
    </row>
    <row r="16" spans="1:58" ht="18" x14ac:dyDescent="0.35">
      <c r="A16" s="13" t="s">
        <v>80</v>
      </c>
      <c r="B16" s="46" t="s">
        <v>81</v>
      </c>
      <c r="C16" s="45">
        <f>0.875</f>
        <v>0.875</v>
      </c>
      <c r="D16" s="52">
        <f>1/(SQRT(3)*PI())</f>
        <v>0.1837762984739307</v>
      </c>
      <c r="E16" s="52">
        <f>0.159*2*C16</f>
        <v>0.27825</v>
      </c>
      <c r="F16">
        <f>E16*PI()</f>
        <v>0.87414815586135997</v>
      </c>
      <c r="G16">
        <f>1/SQRT(3)</f>
        <v>0.57735026918962584</v>
      </c>
      <c r="H16">
        <f>G16/PI()</f>
        <v>0.1837762984739307</v>
      </c>
      <c r="AY16">
        <v>5</v>
      </c>
      <c r="AZ16" s="2">
        <f>AT23</f>
        <v>390.24789830864574</v>
      </c>
      <c r="BA16" s="2">
        <f>AX23</f>
        <v>406.47588375634291</v>
      </c>
    </row>
    <row r="17" spans="1:61" ht="18" x14ac:dyDescent="0.35">
      <c r="A17" s="13" t="s">
        <v>82</v>
      </c>
      <c r="B17" s="47" t="s">
        <v>83</v>
      </c>
      <c r="C17" s="45">
        <f>0.875*0.93</f>
        <v>0.81375000000000008</v>
      </c>
      <c r="D17" s="53">
        <f>SQRT(3)/PI()</f>
        <v>0.55132889542179209</v>
      </c>
    </row>
    <row r="18" spans="1:61" x14ac:dyDescent="0.25">
      <c r="O18" s="38" t="s">
        <v>42</v>
      </c>
      <c r="X18" s="38" t="s">
        <v>43</v>
      </c>
      <c r="AG18" s="38" t="s">
        <v>44</v>
      </c>
      <c r="AP18" s="38" t="s">
        <v>45</v>
      </c>
    </row>
    <row r="19" spans="1:61" x14ac:dyDescent="0.25">
      <c r="C19" t="s">
        <v>46</v>
      </c>
      <c r="K19" t="s">
        <v>47</v>
      </c>
      <c r="O19" s="29" t="s">
        <v>48</v>
      </c>
      <c r="P19" s="29"/>
      <c r="Q19" s="29"/>
      <c r="R19" s="29"/>
      <c r="S19" s="29"/>
      <c r="T19" s="4" t="s">
        <v>49</v>
      </c>
      <c r="U19" s="4"/>
      <c r="V19" s="4"/>
      <c r="W19" s="4"/>
      <c r="X19" s="29" t="s">
        <v>48</v>
      </c>
      <c r="Y19" s="29"/>
      <c r="AC19" s="4" t="s">
        <v>49</v>
      </c>
      <c r="AD19" s="4"/>
      <c r="AE19" s="4"/>
      <c r="AF19" s="4"/>
      <c r="AG19" s="29" t="s">
        <v>48</v>
      </c>
      <c r="AH19" s="29"/>
      <c r="AL19" s="4" t="s">
        <v>49</v>
      </c>
      <c r="AM19" s="4"/>
      <c r="AN19" s="4"/>
      <c r="AO19" s="4"/>
      <c r="AP19" s="29" t="s">
        <v>48</v>
      </c>
      <c r="AQ19" s="29"/>
      <c r="AU19" s="4" t="s">
        <v>49</v>
      </c>
      <c r="AV19" s="4"/>
      <c r="AW19" s="4"/>
      <c r="AX19" s="4"/>
      <c r="AZ19" t="s">
        <v>50</v>
      </c>
    </row>
    <row r="20" spans="1:61" ht="60" x14ac:dyDescent="0.25">
      <c r="B20" s="23" t="s">
        <v>51</v>
      </c>
      <c r="C20" s="23" t="s">
        <v>52</v>
      </c>
      <c r="D20" s="23" t="s">
        <v>53</v>
      </c>
      <c r="E20" s="23" t="s">
        <v>54</v>
      </c>
      <c r="F20" s="23" t="s">
        <v>55</v>
      </c>
      <c r="G20" s="23" t="s">
        <v>56</v>
      </c>
      <c r="H20" s="23" t="s">
        <v>57</v>
      </c>
      <c r="I20" s="23" t="s">
        <v>58</v>
      </c>
      <c r="J20" s="23" t="s">
        <v>84</v>
      </c>
      <c r="K20" s="23" t="s">
        <v>55</v>
      </c>
      <c r="L20" s="30" t="s">
        <v>59</v>
      </c>
      <c r="M20" s="30" t="s">
        <v>60</v>
      </c>
      <c r="N20" s="34" t="s">
        <v>61</v>
      </c>
      <c r="O20" s="30" t="s">
        <v>54</v>
      </c>
      <c r="P20" s="30" t="s">
        <v>53</v>
      </c>
      <c r="Q20" s="30" t="s">
        <v>55</v>
      </c>
      <c r="R20" s="30" t="s">
        <v>59</v>
      </c>
      <c r="S20" s="30" t="s">
        <v>60</v>
      </c>
      <c r="T20" s="34" t="s">
        <v>54</v>
      </c>
      <c r="U20" s="34" t="s">
        <v>53</v>
      </c>
      <c r="V20" s="34" t="s">
        <v>55</v>
      </c>
      <c r="W20" s="34" t="s">
        <v>61</v>
      </c>
      <c r="X20" s="30" t="s">
        <v>54</v>
      </c>
      <c r="Y20" s="30" t="s">
        <v>53</v>
      </c>
      <c r="Z20" s="30" t="s">
        <v>55</v>
      </c>
      <c r="AA20" s="30" t="s">
        <v>59</v>
      </c>
      <c r="AB20" s="30" t="s">
        <v>60</v>
      </c>
      <c r="AC20" s="34" t="s">
        <v>54</v>
      </c>
      <c r="AD20" s="34" t="s">
        <v>53</v>
      </c>
      <c r="AE20" s="34" t="s">
        <v>55</v>
      </c>
      <c r="AF20" s="34" t="s">
        <v>61</v>
      </c>
      <c r="AG20" s="30" t="s">
        <v>54</v>
      </c>
      <c r="AH20" s="30" t="s">
        <v>53</v>
      </c>
      <c r="AI20" s="30" t="s">
        <v>55</v>
      </c>
      <c r="AJ20" s="30" t="s">
        <v>59</v>
      </c>
      <c r="AK20" s="30" t="s">
        <v>60</v>
      </c>
      <c r="AL20" s="34" t="s">
        <v>54</v>
      </c>
      <c r="AM20" s="34" t="s">
        <v>53</v>
      </c>
      <c r="AN20" s="34" t="s">
        <v>55</v>
      </c>
      <c r="AO20" s="34" t="s">
        <v>61</v>
      </c>
      <c r="AP20" s="30" t="s">
        <v>54</v>
      </c>
      <c r="AQ20" s="30" t="s">
        <v>53</v>
      </c>
      <c r="AR20" s="30" t="s">
        <v>55</v>
      </c>
      <c r="AS20" s="30" t="s">
        <v>59</v>
      </c>
      <c r="AT20" s="30" t="s">
        <v>60</v>
      </c>
      <c r="AU20" s="34" t="s">
        <v>54</v>
      </c>
      <c r="AV20" s="34" t="s">
        <v>53</v>
      </c>
      <c r="AW20" s="34" t="s">
        <v>55</v>
      </c>
      <c r="AX20" s="34" t="s">
        <v>61</v>
      </c>
      <c r="AY20" s="23" t="s">
        <v>62</v>
      </c>
      <c r="AZ20" s="30" t="s">
        <v>63</v>
      </c>
      <c r="BA20" s="34" t="s">
        <v>35</v>
      </c>
      <c r="BB20" s="41" t="s">
        <v>91</v>
      </c>
      <c r="BC20" t="s">
        <v>10</v>
      </c>
      <c r="BD20" t="s">
        <v>9</v>
      </c>
      <c r="BE20" t="s">
        <v>93</v>
      </c>
      <c r="BF20" t="s">
        <v>94</v>
      </c>
      <c r="BG20" t="s">
        <v>94</v>
      </c>
    </row>
    <row r="21" spans="1:61" ht="18" x14ac:dyDescent="0.35"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s="1" t="s">
        <v>70</v>
      </c>
      <c r="H21" s="1" t="s">
        <v>71</v>
      </c>
      <c r="I21" s="1" t="s">
        <v>9</v>
      </c>
      <c r="J21" s="1" t="s">
        <v>72</v>
      </c>
      <c r="K21" s="1" t="s">
        <v>73</v>
      </c>
      <c r="L21" s="31" t="s">
        <v>3</v>
      </c>
      <c r="M21" s="31" t="s">
        <v>74</v>
      </c>
      <c r="N21" s="35" t="s">
        <v>74</v>
      </c>
      <c r="O21" s="29" t="s">
        <v>68</v>
      </c>
      <c r="P21" s="29" t="s">
        <v>67</v>
      </c>
      <c r="Q21" s="31" t="s">
        <v>73</v>
      </c>
      <c r="R21" s="31" t="s">
        <v>3</v>
      </c>
      <c r="S21" s="31" t="s">
        <v>74</v>
      </c>
      <c r="T21" s="4" t="s">
        <v>68</v>
      </c>
      <c r="U21" s="4" t="s">
        <v>67</v>
      </c>
      <c r="V21" s="35" t="s">
        <v>73</v>
      </c>
      <c r="W21" s="35" t="s">
        <v>74</v>
      </c>
      <c r="X21" s="29" t="s">
        <v>68</v>
      </c>
      <c r="Y21" s="29" t="s">
        <v>67</v>
      </c>
      <c r="Z21" s="31" t="s">
        <v>73</v>
      </c>
      <c r="AA21" s="31" t="s">
        <v>3</v>
      </c>
      <c r="AB21" s="31" t="s">
        <v>74</v>
      </c>
      <c r="AC21" s="4" t="s">
        <v>68</v>
      </c>
      <c r="AD21" s="4" t="s">
        <v>67</v>
      </c>
      <c r="AE21" s="35" t="s">
        <v>73</v>
      </c>
      <c r="AF21" s="35" t="s">
        <v>74</v>
      </c>
      <c r="AG21" s="29" t="s">
        <v>68</v>
      </c>
      <c r="AH21" s="29" t="s">
        <v>67</v>
      </c>
      <c r="AI21" s="31" t="s">
        <v>73</v>
      </c>
      <c r="AJ21" s="31" t="s">
        <v>3</v>
      </c>
      <c r="AK21" s="31" t="s">
        <v>74</v>
      </c>
      <c r="AL21" s="4" t="s">
        <v>68</v>
      </c>
      <c r="AM21" s="4" t="s">
        <v>67</v>
      </c>
      <c r="AN21" s="35" t="s">
        <v>73</v>
      </c>
      <c r="AO21" s="35" t="s">
        <v>74</v>
      </c>
      <c r="AP21" s="29" t="s">
        <v>68</v>
      </c>
      <c r="AQ21" s="29" t="s">
        <v>67</v>
      </c>
      <c r="AR21" s="31" t="s">
        <v>73</v>
      </c>
      <c r="AS21" s="31" t="s">
        <v>3</v>
      </c>
      <c r="AT21" s="31" t="s">
        <v>74</v>
      </c>
      <c r="AU21" s="4" t="s">
        <v>68</v>
      </c>
      <c r="AV21" s="4" t="s">
        <v>67</v>
      </c>
      <c r="AW21" s="35" t="s">
        <v>73</v>
      </c>
      <c r="AX21" s="35" t="s">
        <v>74</v>
      </c>
      <c r="AZ21" s="31" t="s">
        <v>74</v>
      </c>
      <c r="BA21" s="35" t="s">
        <v>74</v>
      </c>
      <c r="BB21" s="42" t="s">
        <v>74</v>
      </c>
      <c r="BF21" t="s">
        <v>85</v>
      </c>
      <c r="BG21" t="s">
        <v>9</v>
      </c>
    </row>
    <row r="22" spans="1:61" x14ac:dyDescent="0.25">
      <c r="A22" t="s">
        <v>75</v>
      </c>
      <c r="B22" t="s">
        <v>76</v>
      </c>
      <c r="C22" t="s">
        <v>41</v>
      </c>
      <c r="D22" t="s">
        <v>2</v>
      </c>
      <c r="E22" t="s">
        <v>1</v>
      </c>
      <c r="F22" t="s">
        <v>77</v>
      </c>
      <c r="G22" t="s">
        <v>0</v>
      </c>
      <c r="H22" t="s">
        <v>0</v>
      </c>
      <c r="I22" t="s">
        <v>0</v>
      </c>
      <c r="J22" t="s">
        <v>78</v>
      </c>
      <c r="L22" s="29"/>
      <c r="M22" s="29" t="s">
        <v>79</v>
      </c>
      <c r="N22" s="4" t="s">
        <v>79</v>
      </c>
      <c r="O22" s="29" t="s">
        <v>1</v>
      </c>
      <c r="P22" s="29" t="s">
        <v>2</v>
      </c>
      <c r="Q22" s="29"/>
      <c r="R22" s="29"/>
      <c r="S22" s="29" t="s">
        <v>79</v>
      </c>
      <c r="T22" s="4" t="s">
        <v>1</v>
      </c>
      <c r="U22" s="4" t="s">
        <v>2</v>
      </c>
      <c r="V22" s="4"/>
      <c r="W22" s="4" t="s">
        <v>79</v>
      </c>
      <c r="X22" s="29" t="s">
        <v>1</v>
      </c>
      <c r="Y22" s="29" t="s">
        <v>2</v>
      </c>
      <c r="Z22" s="29"/>
      <c r="AA22" s="29"/>
      <c r="AB22" s="29" t="s">
        <v>79</v>
      </c>
      <c r="AC22" s="4" t="s">
        <v>1</v>
      </c>
      <c r="AD22" s="4" t="s">
        <v>2</v>
      </c>
      <c r="AE22" s="4"/>
      <c r="AF22" s="4" t="s">
        <v>79</v>
      </c>
      <c r="AG22" s="29" t="s">
        <v>1</v>
      </c>
      <c r="AH22" s="29" t="s">
        <v>2</v>
      </c>
      <c r="AI22" s="29"/>
      <c r="AJ22" s="29"/>
      <c r="AK22" s="29" t="s">
        <v>79</v>
      </c>
      <c r="AL22" s="4" t="s">
        <v>1</v>
      </c>
      <c r="AM22" s="4" t="s">
        <v>2</v>
      </c>
      <c r="AN22" s="4"/>
      <c r="AO22" s="4" t="s">
        <v>79</v>
      </c>
      <c r="AP22" s="29" t="s">
        <v>1</v>
      </c>
      <c r="AQ22" s="29" t="s">
        <v>2</v>
      </c>
      <c r="AR22" s="29"/>
      <c r="AS22" s="29"/>
      <c r="AT22" s="29" t="s">
        <v>79</v>
      </c>
      <c r="AU22" s="4" t="s">
        <v>1</v>
      </c>
      <c r="AV22" s="4" t="s">
        <v>2</v>
      </c>
      <c r="AW22" s="4"/>
      <c r="AX22" s="4" t="s">
        <v>79</v>
      </c>
      <c r="AZ22" s="29" t="s">
        <v>79</v>
      </c>
      <c r="BA22" s="4" t="s">
        <v>79</v>
      </c>
      <c r="BB22" s="43" t="s">
        <v>79</v>
      </c>
      <c r="BC22" t="s">
        <v>17</v>
      </c>
      <c r="BD22" t="s">
        <v>85</v>
      </c>
    </row>
    <row r="23" spans="1:61" x14ac:dyDescent="0.25">
      <c r="A23">
        <f>B23*60</f>
        <v>6</v>
      </c>
      <c r="B23">
        <v>0.1</v>
      </c>
      <c r="C23">
        <f>C15</f>
        <v>180</v>
      </c>
      <c r="D23" s="2">
        <f>((1.12*10^-5)*(C23^2))+(0.00982*C23)+6.4</f>
        <v>8.5304800000000007</v>
      </c>
      <c r="E23" s="2">
        <f>((1.71*10^-6)*(C23^3))-(0.00173*(C23^2))+(0.6*C23)+536</f>
        <v>597.92071999999996</v>
      </c>
      <c r="F23" s="25">
        <f>B23*$E$10*4500*E23/(4*D23)</f>
        <v>3.4369353592482259</v>
      </c>
      <c r="G23">
        <f>SQRT($E$10^2/F23)</f>
        <v>2.3510562787962182E-4</v>
      </c>
      <c r="H23">
        <f>G23/SIN($E$4)</f>
        <v>4.0989415355921298E-4</v>
      </c>
      <c r="I23" s="51">
        <f>(H23+$E$8)/2</f>
        <v>2.1066210293098716E-4</v>
      </c>
      <c r="J23" s="28">
        <f>IF(0.6*F23^-0.4&gt;1,1,0.6*F23^-0.4)</f>
        <v>0.36616995336062108</v>
      </c>
      <c r="K23" s="24">
        <f>(B23*I23*4500*E23)/(2*D23)</f>
        <v>3.3223016944852151</v>
      </c>
      <c r="L23" s="33">
        <f>(0.00527*(K23^3))-(0.192*(K23^2))+2.39*K23</f>
        <v>6.0143185486978634</v>
      </c>
      <c r="M23" s="39">
        <f>$C$16*L23*0.159*$C$12*J23*2/(4500*E23*$E$11*I23)</f>
        <v>494.56254876764592</v>
      </c>
      <c r="N23" s="40">
        <f>$C$17*0.399*$C$12*J23*B23/(D23*$E$11)*SQRT(D23/(4500*E23*B23*I23))</f>
        <v>247.34210642864178</v>
      </c>
      <c r="O23" s="32">
        <f>((1.71*10^-6)*(M23^3))-(0.00173*(M23^2))+(0.6*M23)+536</f>
        <v>616.4452012887017</v>
      </c>
      <c r="P23" s="32">
        <f>((1.12*10^-5)*(M23^2))+(0.00982*M23)+6.4</f>
        <v>13.996035912906045</v>
      </c>
      <c r="Q23" s="33">
        <f>($B23*$I23*4500*O23)/(2*P23)</f>
        <v>2.0876532278132558</v>
      </c>
      <c r="R23" s="33">
        <f>(0.00527*(Q23^3))-(0.192*(Q23^2))+2.39*Q23</f>
        <v>4.2006480609993551</v>
      </c>
      <c r="S23" s="39">
        <f>$C$16*R23*0.159*$C$12*$J23*2/(4500*O23*$E$11*$I23)</f>
        <v>335.04274899881506</v>
      </c>
      <c r="T23" s="36">
        <f>((1.71*10^-6)*(N23^3))-(0.00173*(N23^2))+(0.6*N23)+536</f>
        <v>604.44271124420641</v>
      </c>
      <c r="U23" s="36">
        <f>((1.12*10^-5)*(N23^2))+(0.00982*N23)+6.4</f>
        <v>9.5140944023899081</v>
      </c>
      <c r="V23" s="37">
        <f>($B23*$I23*4500*T23)/(2*U23)</f>
        <v>3.0113180125168739</v>
      </c>
      <c r="W23" s="40">
        <f t="shared" ref="W23:W72" si="3">$C$17*0.399*$C$12*$J23*$B23*2/(U23*$E$11)*SQRT(U23/(4500*T23*$B23*$I23))</f>
        <v>465.88130823030667</v>
      </c>
      <c r="X23" s="32">
        <f>((1.71*10^-6)*(S23^3))-(0.00173*(S23^2))+(0.6*S23)+536</f>
        <v>607.1395514717625</v>
      </c>
      <c r="Y23" s="32">
        <f>((1.12*10^-5)*(S23^2))+(0.00982*S23)+6.4</f>
        <v>10.947360604123215</v>
      </c>
      <c r="Z23" s="33">
        <f>($B23*$I23*4500*X23)/(2*Y23)</f>
        <v>2.6287424288759738</v>
      </c>
      <c r="AA23" s="33">
        <f>(0.00527*(Z23^3))-(0.192*(Z23^2))+2.39*Z23</f>
        <v>5.0516508158506337</v>
      </c>
      <c r="AB23" s="39">
        <f t="shared" ref="AB23:AB72" si="4">$C$16*AA23*0.159*$C$12*$J23*2/(4500*X23*$E$11*$I23)</f>
        <v>409.09408519899546</v>
      </c>
      <c r="AC23" s="36">
        <f>((1.71*10^-6)*(W23^3))-(0.00173*(W23^2))+(0.6*W23)+536</f>
        <v>612.95099441159448</v>
      </c>
      <c r="AD23" s="36">
        <f>((1.12*10^-5)*(W23^2))+(0.00982*W23)+6.4</f>
        <v>13.40586285243549</v>
      </c>
      <c r="AE23" s="37">
        <f>($B23*$I23*4500*AC23)/(2*AD23)</f>
        <v>2.1672046068193738</v>
      </c>
      <c r="AF23" s="40">
        <f t="shared" ref="AF23:AF72" si="5">$C$17*0.399*$C$12*$J23*$B23*2/(AD23*$E$11)*SQRT(AD23/(4500*AC23*$B23*$I23))</f>
        <v>389.74120535546854</v>
      </c>
      <c r="AG23" s="32">
        <f>((1.71*10^-6)*(AB23^3))-(0.00173*(AB23^2))+(0.6*AB23)+536</f>
        <v>609.00257859883322</v>
      </c>
      <c r="AH23" s="32">
        <f>((1.12*10^-5)*(AB23^2))+(0.00982*AB23)+6.4</f>
        <v>12.291713186755929</v>
      </c>
      <c r="AI23" s="33">
        <f>($B23*$I23*4500*AG23)/(2*AH23)</f>
        <v>2.3484193324782452</v>
      </c>
      <c r="AJ23" s="33">
        <f>(0.00527*(AI23^3))-(0.192*(AI23^2))+2.39*AI23</f>
        <v>4.6220836041110163</v>
      </c>
      <c r="AK23" s="39">
        <f t="shared" ref="AK23:AK72" si="6">$C$16*AJ23*0.159*$C$12*$J23*2/(4500*AG23*$E$11*$I23)</f>
        <v>373.16170419067424</v>
      </c>
      <c r="AL23" s="36">
        <f>((1.71*10^-6)*(AF23^3))-(0.00173*(AF23^2))+(0.6*AF23)+536</f>
        <v>608.29451833334315</v>
      </c>
      <c r="AM23" s="36">
        <f>((1.12*10^-5)*(AF23^2))+(0.00982*AF23)+6.4</f>
        <v>11.928518556692357</v>
      </c>
      <c r="AN23" s="37">
        <f>($B23*$I23*4500*AL23)/(2*AM23)</f>
        <v>2.4171095019473303</v>
      </c>
      <c r="AO23" s="40">
        <f t="shared" ref="AO23:AO72" si="7">$C$17*0.399*$C$12*$J23*$B23*2/(AM23*$E$11)*SQRT(AM23/(4500*AL23*$B23*$I23))</f>
        <v>414.74998626166621</v>
      </c>
      <c r="AP23" s="32">
        <f>((1.71*10^-6)*(AK23^3))-(0.00173*(AK23^2))+(0.6*AK23)+536</f>
        <v>607.85122861340244</v>
      </c>
      <c r="AQ23" s="32">
        <f>((1.12*10^-5)*(AK23^2))+(0.00982*AK23)+6.4</f>
        <v>11.62404409886669</v>
      </c>
      <c r="AR23" s="33">
        <f>($B23*$I23*4500*AP23)/(2*AQ23)</f>
        <v>2.4786144843349183</v>
      </c>
      <c r="AS23" s="33">
        <f>(0.00527*(AR23^3))-(0.192*(AR23^2))+2.39*AR23</f>
        <v>4.8245795218300325</v>
      </c>
      <c r="AT23" s="39">
        <f t="shared" ref="AT23:AT72" si="8">$C$16*AS23*0.159*$C$12*$J23*2/(4500*AP23*$E$11*$I23)</f>
        <v>390.24789830864574</v>
      </c>
      <c r="AU23" s="36">
        <f>((1.71*10^-6)*(AO23^3))-(0.00173*(AO23^2))+(0.6*AO23)+536</f>
        <v>609.25834194375193</v>
      </c>
      <c r="AV23" s="36">
        <f>((1.12*10^-5)*(AO23^2))+(0.00982*AO23)+6.4</f>
        <v>12.39944143745495</v>
      </c>
      <c r="AW23" s="37">
        <f>($B23*$I23*4500*AU23)/(2*AV23)</f>
        <v>2.3289936036750851</v>
      </c>
      <c r="AX23" s="40">
        <f t="shared" ref="AX23:AX72" si="9">$C$17*0.399*$C$12*$J23*$B23*2/(AV23*$E$11)*SQRT(AV23/(4500*AU23*$B23*$I23))</f>
        <v>406.47588375634291</v>
      </c>
      <c r="AY23" s="2">
        <f>AVERAGE(AW23,AR23,AN23,AI23,AE23,Z23,V23,Q23)</f>
        <v>2.4335068998076319</v>
      </c>
      <c r="AZ23" s="2">
        <f>AVERAGE(AT23,AK23,AB23,S23)</f>
        <v>376.88660917428263</v>
      </c>
      <c r="BA23" s="2">
        <f>AVERAGE(AX23,AO23,AF23,W23)</f>
        <v>419.21209590094611</v>
      </c>
      <c r="BB23" s="44">
        <f>IF(AY23&gt;5,BA23,AZ23)</f>
        <v>376.88660917428263</v>
      </c>
      <c r="BC23">
        <f>A23</f>
        <v>6</v>
      </c>
      <c r="BD23" s="2">
        <f>I23*10^6</f>
        <v>210.66210293098717</v>
      </c>
      <c r="BE23" s="2">
        <f>BB23*0.8</f>
        <v>301.50928733942612</v>
      </c>
      <c r="BF23" s="2">
        <f t="shared" ref="BF23:BF72" si="10">SQRT((2*BD23)^2/AY23)</f>
        <v>270.08478539516102</v>
      </c>
      <c r="BG23" s="24">
        <f t="shared" ref="BG23:BG31" si="11">BF23/BD23</f>
        <v>1.2820758059347803</v>
      </c>
    </row>
    <row r="24" spans="1:61" x14ac:dyDescent="0.25">
      <c r="A24">
        <f t="shared" ref="A24:A72" si="12">B24*60</f>
        <v>12</v>
      </c>
      <c r="B24">
        <v>0.2</v>
      </c>
      <c r="C24" s="2">
        <f>BB23</f>
        <v>376.88660917428263</v>
      </c>
      <c r="D24" s="2">
        <f t="shared" ref="D24:D72" si="13">((1.12*10^-5)*(C24^2))+(0.00982*C24)+6.4</f>
        <v>11.691913883250207</v>
      </c>
      <c r="E24" s="2">
        <f t="shared" ref="E24:E72" si="14">((1.71*10^-6)*(C24^3))-(0.00173*(C24^2))+(0.6*C24)+536</f>
        <v>607.94033409646431</v>
      </c>
      <c r="F24" s="25">
        <f t="shared" ref="F24:F72" si="15">B24*$E$10*4500*E24/(4*D24)</f>
        <v>5.0992531793434264</v>
      </c>
      <c r="G24">
        <f t="shared" ref="G24:G72" si="16">SQRT($E$10^2/F24)</f>
        <v>1.93016937069456E-4</v>
      </c>
      <c r="H24">
        <f t="shared" ref="H24:H72" si="17">G24/SIN($E$4)</f>
        <v>3.3651476043434223E-4</v>
      </c>
      <c r="I24" s="51">
        <f>(H24+$E$8)/2</f>
        <v>1.7397240636855179E-4</v>
      </c>
      <c r="J24" s="28">
        <f>IF(0.6*F24^-0.4&gt;1,1,0.6*F24^-0.4)</f>
        <v>0.31271493281922769</v>
      </c>
      <c r="K24" s="24">
        <f>(B24*I24*4500*E24)/(2*D24)</f>
        <v>4.0706919122327525</v>
      </c>
      <c r="L24" s="33">
        <f>(0.00527*(K24^3))-(0.192*(K24^2))+2.39*K24</f>
        <v>6.9028915225789262</v>
      </c>
      <c r="M24" s="39">
        <f>$C$16*L24*0.159*$C$12*J24*2/(4500*E24*$E$11*I24)</f>
        <v>577.32511859850376</v>
      </c>
      <c r="N24" s="40">
        <f t="shared" ref="N24:N72" si="18">$C$17*0.399*$C$12*J24*B24/(D24*$E$11)*SQRT(D24/(4500*E24*B24*I24))</f>
        <v>278.46283741380267</v>
      </c>
      <c r="O24" s="32">
        <f t="shared" ref="O24:O72" si="19">((1.71*10^-6)*(M24^3))-(0.00173*(M24^2))+(0.6*M24)+536</f>
        <v>634.82529282277756</v>
      </c>
      <c r="P24" s="32">
        <f t="shared" ref="P24:P72" si="20">((1.12*10^-5)*(M24^2))+(0.00982*M24)+6.4</f>
        <v>15.802340741362805</v>
      </c>
      <c r="Q24" s="33">
        <f t="shared" ref="Q24:Q72" si="21">($B24*$I24*4500*O24)/(2*P24)</f>
        <v>3.1450364557139361</v>
      </c>
      <c r="R24" s="33">
        <f t="shared" ref="R24:R71" si="22">(0.00527*(Q24^3))-(0.192*(Q24^2))+2.39*Q24</f>
        <v>5.7814573349733767</v>
      </c>
      <c r="S24" s="39">
        <f t="shared" ref="S24:S72" si="23">$C$16*R24*0.159*$C$12*$J24*2/(4500*O24*$E$11*$I24)</f>
        <v>463.05594685729085</v>
      </c>
      <c r="T24" s="36">
        <f t="shared" ref="T24:T72" si="24">((1.71*10^-6)*(N24^3))-(0.00173*(N24^2))+(0.6*N24)+536</f>
        <v>605.85389111772304</v>
      </c>
      <c r="U24" s="36">
        <f t="shared" ref="U24:U72" si="25">((1.12*10^-5)*(N24^2))+(0.00982*N24)+6.4</f>
        <v>10.002970443793657</v>
      </c>
      <c r="V24" s="37">
        <f t="shared" ref="V24:V72" si="26">($B24*$I24*4500*T24)/(2*U24)</f>
        <v>4.741675182585773</v>
      </c>
      <c r="W24" s="40">
        <f t="shared" si="3"/>
        <v>603.14548212378611</v>
      </c>
      <c r="X24" s="32">
        <f t="shared" ref="X24:X72" si="27">((1.71*10^-6)*(S24^3))-(0.00173*(S24^2))+(0.6*S24)+536</f>
        <v>612.66946824230217</v>
      </c>
      <c r="Y24" s="32">
        <f t="shared" ref="Y24:Y72" si="28">((1.12*10^-5)*(S24^2))+(0.00982*S24)+6.4</f>
        <v>13.348722469241501</v>
      </c>
      <c r="Z24" s="33">
        <f t="shared" ref="Z24:Z72" si="29">($B24*$I24*4500*X24)/(2*Y24)</f>
        <v>3.5931836829266159</v>
      </c>
      <c r="AA24" s="33">
        <f t="shared" ref="AA24:AA72" si="30">(0.00527*(Z24^3))-(0.192*(Z24^2))+2.39*Z24</f>
        <v>6.3532860739417565</v>
      </c>
      <c r="AB24" s="39">
        <f t="shared" si="4"/>
        <v>527.25722001689951</v>
      </c>
      <c r="AC24" s="36">
        <f t="shared" ref="AC24:AC72" si="31">((1.71*10^-6)*(W24^3))-(0.00173*(W24^2))+(0.6*W24)+536</f>
        <v>643.73973517930733</v>
      </c>
      <c r="AD24" s="36">
        <f t="shared" ref="AD24:AD72" si="32">((1.12*10^-5)*(W24^2))+(0.00982*W24)+6.4</f>
        <v>16.397274727646526</v>
      </c>
      <c r="AE24" s="37">
        <f t="shared" ref="AE24:AE72" si="33">($B24*$I24*4500*AC24)/(2*AD24)</f>
        <v>3.0734880459688827</v>
      </c>
      <c r="AF24" s="40">
        <f t="shared" si="5"/>
        <v>457.01402448539534</v>
      </c>
      <c r="AG24" s="32">
        <f t="shared" ref="AG24:AG72" si="34">((1.71*10^-6)*(AB24^3))-(0.00173*(AB24^2))+(0.6*AB24)+536</f>
        <v>622.06172341544504</v>
      </c>
      <c r="AH24" s="32">
        <f t="shared" ref="AH24:AH72" si="35">((1.12*10^-5)*(AB24^2))+(0.00982*AB24)+6.4</f>
        <v>14.691267872437384</v>
      </c>
      <c r="AI24" s="33">
        <f t="shared" ref="AI24:AI72" si="36">($B24*$I24*4500*AG24)/(2*AH24)</f>
        <v>3.3148744643697956</v>
      </c>
      <c r="AJ24" s="33">
        <f t="shared" ref="AJ24:AJ72" si="37">(0.00527*(AI24^3))-(0.192*(AI24^2))+2.39*AI24</f>
        <v>6.0047390691749438</v>
      </c>
      <c r="AK24" s="39">
        <f t="shared" si="6"/>
        <v>490.80731143399004</v>
      </c>
      <c r="AL24" s="36">
        <f t="shared" ref="AL24:AL72" si="38">((1.71*10^-6)*(AF24^3))-(0.00173*(AF24^2))+(0.6*AF24)+536</f>
        <v>612.10172281401015</v>
      </c>
      <c r="AM24" s="36">
        <f t="shared" ref="AM24:AM72" si="39">((1.12*10^-5)*(AF24^2))+(0.00982*AF24)+6.4</f>
        <v>13.227130088501564</v>
      </c>
      <c r="AN24" s="37">
        <f t="shared" ref="AN24:AN72" si="40">($B24*$I24*4500*AL24)/(2*AM24)</f>
        <v>3.6228542417366478</v>
      </c>
      <c r="AO24" s="40">
        <f t="shared" si="7"/>
        <v>521.82623457317516</v>
      </c>
      <c r="AP24" s="32">
        <f>((1.71*10^-6)*(AK24^3))-(0.00173*(AK24^2))+(0.6*AK24)+536</f>
        <v>615.91734872109407</v>
      </c>
      <c r="AQ24" s="32">
        <f t="shared" ref="AQ24:AQ72" si="41">((1.12*10^-5)*(AK24^2))+(0.00982*AK24)+6.4</f>
        <v>13.917716148200874</v>
      </c>
      <c r="AR24" s="33">
        <f t="shared" ref="AR24:AR72" si="42">($B24*$I24*4500*AP24)/(2*AQ24)</f>
        <v>3.4645540951594569</v>
      </c>
      <c r="AS24" s="33">
        <f t="shared" ref="AS24:AS71" si="43">(0.00527*(AR24^3))-(0.192*(AR24^2))+2.39*AR24</f>
        <v>6.1948379942646632</v>
      </c>
      <c r="AT24" s="39">
        <f t="shared" si="8"/>
        <v>511.39665005021999</v>
      </c>
      <c r="AU24" s="36">
        <f t="shared" ref="AU24:AU72" si="44">((1.71*10^-6)*(AO24^3))-(0.00173*(AO24^2))+(0.6*AO24)+536</f>
        <v>620.99406187608838</v>
      </c>
      <c r="AV24" s="36">
        <f t="shared" ref="AV24:AV72" si="45">((1.12*10^-5)*(AO24^2))+(0.00982*AO24)+6.4</f>
        <v>14.574122957303349</v>
      </c>
      <c r="AW24" s="37">
        <f t="shared" ref="AW24:AW72" si="46">($B24*$I24*4500*AU24)/(2*AV24)</f>
        <v>3.3357838561367159</v>
      </c>
      <c r="AX24" s="40">
        <f t="shared" si="9"/>
        <v>493.55503229537896</v>
      </c>
      <c r="AY24" s="2">
        <f>AVERAGE(AW24,AR24,AN24,AI24,AE24,Z24,V24,Q24)</f>
        <v>3.5364312530747277</v>
      </c>
      <c r="AZ24" s="2">
        <f t="shared" ref="AZ24:AZ72" si="47">AVERAGE(AT24,AK24,AB24,S24)</f>
        <v>498.12928208960005</v>
      </c>
      <c r="BA24" s="2">
        <f t="shared" ref="BA24:BA72" si="48">AVERAGE(AX24,AO24,AF24,W24)</f>
        <v>518.88519336943386</v>
      </c>
      <c r="BB24" s="44">
        <f>IF(AY24&gt;5,BA24,AZ24)</f>
        <v>498.12928208960005</v>
      </c>
      <c r="BC24">
        <f t="shared" ref="BC24:BC72" si="49">A24</f>
        <v>12</v>
      </c>
      <c r="BD24" s="2">
        <f t="shared" ref="BD24:BD72" si="50">I24*10^6</f>
        <v>173.97240636855179</v>
      </c>
      <c r="BE24" s="2">
        <f t="shared" ref="BE24:BE72" si="51">BB24*0.8</f>
        <v>398.50342567168008</v>
      </c>
      <c r="BF24" s="2">
        <f t="shared" si="10"/>
        <v>185.02386820579358</v>
      </c>
      <c r="BG24" s="24">
        <f t="shared" si="11"/>
        <v>1.0635242224208237</v>
      </c>
    </row>
    <row r="25" spans="1:61" x14ac:dyDescent="0.25">
      <c r="A25">
        <f t="shared" si="12"/>
        <v>18</v>
      </c>
      <c r="B25">
        <v>0.3</v>
      </c>
      <c r="C25" s="2">
        <f>BB24</f>
        <v>498.12928208960005</v>
      </c>
      <c r="D25" s="2">
        <f t="shared" si="13"/>
        <v>14.070716704880997</v>
      </c>
      <c r="E25" s="2">
        <f t="shared" si="14"/>
        <v>616.96762647763603</v>
      </c>
      <c r="F25" s="25">
        <f t="shared" si="15"/>
        <v>6.4501325821999345</v>
      </c>
      <c r="G25">
        <f t="shared" si="16"/>
        <v>1.7161861251219047E-4</v>
      </c>
      <c r="H25">
        <f t="shared" si="17"/>
        <v>2.992079200533174E-4</v>
      </c>
      <c r="I25" s="51">
        <f>(H25+$E$8)/2</f>
        <v>1.5531898617803937E-4</v>
      </c>
      <c r="J25" s="28">
        <f t="shared" ref="J25:J72" si="52">IF(0.6*F25^-0.4&gt;1,1,0.6*F25^-0.4)</f>
        <v>0.28465826220814394</v>
      </c>
      <c r="K25" s="24">
        <f t="shared" ref="K25:K72" si="53">(B25*I25*4500*E25)/(2*D25)</f>
        <v>4.5969997175593056</v>
      </c>
      <c r="L25" s="33">
        <f t="shared" ref="L25:L72" si="54">(0.00527*(K25^3))-(0.192*(K25^2))+2.39*K25</f>
        <v>7.4413649567719204</v>
      </c>
      <c r="M25" s="39">
        <f t="shared" ref="M25:M72" si="55">$C$16*L25*0.159*$C$12*J25*2/(4500*E25*$E$11*I25)</f>
        <v>625.27575329045487</v>
      </c>
      <c r="N25" s="40">
        <f t="shared" si="18"/>
        <v>297.30344661643556</v>
      </c>
      <c r="O25" s="32">
        <f t="shared" si="19"/>
        <v>652.82105026558929</v>
      </c>
      <c r="P25" s="32">
        <f t="shared" si="20"/>
        <v>16.91906929502526</v>
      </c>
      <c r="Q25" s="33">
        <f t="shared" si="21"/>
        <v>4.0452559057787347</v>
      </c>
      <c r="R25" s="33">
        <f t="shared" si="22"/>
        <v>6.875113252958414</v>
      </c>
      <c r="S25" s="39">
        <f t="shared" si="23"/>
        <v>545.96784625213331</v>
      </c>
      <c r="T25" s="36">
        <f t="shared" si="24"/>
        <v>606.40466931818185</v>
      </c>
      <c r="U25" s="36">
        <f t="shared" si="25"/>
        <v>10.309480446717529</v>
      </c>
      <c r="V25" s="37">
        <f t="shared" si="26"/>
        <v>6.1667178364385267</v>
      </c>
      <c r="W25" s="40">
        <f t="shared" si="3"/>
        <v>700.6797710857511</v>
      </c>
      <c r="X25" s="32">
        <f t="shared" si="27"/>
        <v>626.19058313822416</v>
      </c>
      <c r="Y25" s="32">
        <f t="shared" si="28"/>
        <v>15.099910208577313</v>
      </c>
      <c r="Z25" s="33">
        <f t="shared" si="29"/>
        <v>4.3477091915825898</v>
      </c>
      <c r="AA25" s="33">
        <f t="shared" si="30"/>
        <v>7.1948344097108343</v>
      </c>
      <c r="AB25" s="39">
        <f t="shared" si="4"/>
        <v>595.65615045021821</v>
      </c>
      <c r="AC25" s="36">
        <f t="shared" si="31"/>
        <v>695.30105814427475</v>
      </c>
      <c r="AD25" s="36">
        <f t="shared" si="32"/>
        <v>18.779339338080419</v>
      </c>
      <c r="AE25" s="37">
        <f t="shared" si="33"/>
        <v>3.881690463616958</v>
      </c>
      <c r="AF25" s="40">
        <f t="shared" si="5"/>
        <v>484.83351929221124</v>
      </c>
      <c r="AG25" s="32">
        <f t="shared" si="34"/>
        <v>640.97459587909225</v>
      </c>
      <c r="AH25" s="32">
        <f t="shared" si="35"/>
        <v>16.223173392595882</v>
      </c>
      <c r="AI25" s="33">
        <f t="shared" si="36"/>
        <v>4.1422215828129767</v>
      </c>
      <c r="AJ25" s="33">
        <f t="shared" si="37"/>
        <v>6.9801243378208824</v>
      </c>
      <c r="AK25" s="39">
        <f t="shared" si="6"/>
        <v>564.55167634615259</v>
      </c>
      <c r="AL25" s="36">
        <f t="shared" si="38"/>
        <v>615.12321462552711</v>
      </c>
      <c r="AM25" s="36">
        <f t="shared" si="39"/>
        <v>13.79377682345735</v>
      </c>
      <c r="AN25" s="37">
        <f t="shared" si="40"/>
        <v>4.6752758742423941</v>
      </c>
      <c r="AO25" s="40">
        <f t="shared" si="7"/>
        <v>601.44591722266364</v>
      </c>
      <c r="AP25" s="32">
        <f t="shared" ref="AP25:AP72" si="56">((1.71*10^-6)*(AK25^3))-(0.00173*(AK25^2))+(0.6*AK25)+536</f>
        <v>631.03346647867443</v>
      </c>
      <c r="AQ25" s="32">
        <f t="shared" si="41"/>
        <v>15.513545728690032</v>
      </c>
      <c r="AR25" s="33">
        <f t="shared" si="42"/>
        <v>4.2645149588028062</v>
      </c>
      <c r="AS25" s="33">
        <f t="shared" si="43"/>
        <v>7.109175913261371</v>
      </c>
      <c r="AT25" s="39">
        <f t="shared" si="8"/>
        <v>584.04757904793905</v>
      </c>
      <c r="AU25" s="36">
        <f t="shared" si="44"/>
        <v>643.09896950747691</v>
      </c>
      <c r="AV25" s="36">
        <f t="shared" si="45"/>
        <v>16.357655450177241</v>
      </c>
      <c r="AW25" s="37">
        <f t="shared" si="46"/>
        <v>4.1217825608130525</v>
      </c>
      <c r="AX25" s="40">
        <f t="shared" si="9"/>
        <v>540.15674366485132</v>
      </c>
      <c r="AY25" s="2">
        <f t="shared" ref="AY25:AY72" si="57">AVERAGE(AW25,AR25,AN25,AI25,AE25,Z25,V25,Q25)</f>
        <v>4.4556460467610046</v>
      </c>
      <c r="AZ25" s="2">
        <f t="shared" si="47"/>
        <v>572.55581302411076</v>
      </c>
      <c r="BA25" s="2">
        <f t="shared" si="48"/>
        <v>581.77898781636941</v>
      </c>
      <c r="BB25" s="44">
        <f>IF(AY25&gt;5,BA25,AZ25)</f>
        <v>572.55581302411076</v>
      </c>
      <c r="BC25">
        <f t="shared" si="49"/>
        <v>18</v>
      </c>
      <c r="BD25" s="2">
        <f t="shared" si="50"/>
        <v>155.31898617803938</v>
      </c>
      <c r="BE25" s="2">
        <f t="shared" si="51"/>
        <v>458.04465041928864</v>
      </c>
      <c r="BF25" s="2">
        <f t="shared" si="10"/>
        <v>147.16319261137403</v>
      </c>
      <c r="BG25" s="24">
        <f t="shared" si="11"/>
        <v>0.94749004118970681</v>
      </c>
      <c r="BH25" t="s">
        <v>12</v>
      </c>
      <c r="BI25" t="s">
        <v>10</v>
      </c>
    </row>
    <row r="26" spans="1:61" x14ac:dyDescent="0.25">
      <c r="A26">
        <f t="shared" si="12"/>
        <v>24</v>
      </c>
      <c r="B26">
        <v>0.4</v>
      </c>
      <c r="C26" s="2">
        <f t="shared" ref="C26:C72" si="58">BB25</f>
        <v>572.55581302411076</v>
      </c>
      <c r="D26" s="2">
        <f t="shared" si="13"/>
        <v>15.694083865007014</v>
      </c>
      <c r="E26" s="2">
        <f t="shared" si="14"/>
        <v>633.36364012557965</v>
      </c>
      <c r="F26" s="25">
        <f t="shared" si="15"/>
        <v>7.9155004881470541</v>
      </c>
      <c r="G26">
        <f t="shared" si="16"/>
        <v>1.549207237780331E-4</v>
      </c>
      <c r="H26">
        <f t="shared" si="17"/>
        <v>2.7009603944611309E-4</v>
      </c>
      <c r="I26" s="51">
        <f t="shared" ref="I26:I72" si="59">(H26+$E$8)/2</f>
        <v>1.4076304587443722E-4</v>
      </c>
      <c r="J26" s="28">
        <f t="shared" si="52"/>
        <v>0.26227681335411529</v>
      </c>
      <c r="K26" s="24">
        <f t="shared" si="53"/>
        <v>5.1126766179761267</v>
      </c>
      <c r="L26" s="33">
        <f t="shared" si="54"/>
        <v>7.9048169671880606</v>
      </c>
      <c r="M26" s="39">
        <f t="shared" si="55"/>
        <v>657.79723901550415</v>
      </c>
      <c r="N26" s="40">
        <f t="shared" si="18"/>
        <v>310.50465251311732</v>
      </c>
      <c r="O26" s="32">
        <f t="shared" si="19"/>
        <v>668.82439294334608</v>
      </c>
      <c r="P26" s="32">
        <f t="shared" si="20"/>
        <v>17.705777612884162</v>
      </c>
      <c r="Q26" s="33">
        <f t="shared" si="21"/>
        <v>4.7855103959730565</v>
      </c>
      <c r="R26" s="33">
        <f t="shared" si="22"/>
        <v>7.617914512993714</v>
      </c>
      <c r="S26" s="39">
        <f t="shared" si="23"/>
        <v>600.31244464486815</v>
      </c>
      <c r="T26" s="36">
        <f t="shared" si="24"/>
        <v>606.69986602049255</v>
      </c>
      <c r="U26" s="36">
        <f t="shared" si="25"/>
        <v>10.528982847080481</v>
      </c>
      <c r="V26" s="37">
        <f t="shared" si="26"/>
        <v>7.2999291652093481</v>
      </c>
      <c r="W26" s="40">
        <f t="shared" si="3"/>
        <v>774.66243647989393</v>
      </c>
      <c r="X26" s="32">
        <f t="shared" si="27"/>
        <v>642.67598612046686</v>
      </c>
      <c r="Y26" s="32">
        <f t="shared" si="28"/>
        <v>16.331268555802183</v>
      </c>
      <c r="Z26" s="33">
        <f t="shared" si="29"/>
        <v>4.985437971753921</v>
      </c>
      <c r="AA26" s="33">
        <f t="shared" si="30"/>
        <v>7.7961262374380604</v>
      </c>
      <c r="AB26" s="39">
        <f t="shared" si="4"/>
        <v>639.35217347723994</v>
      </c>
      <c r="AC26" s="36">
        <f t="shared" si="31"/>
        <v>757.55982272466167</v>
      </c>
      <c r="AD26" s="36">
        <f t="shared" si="32"/>
        <v>20.728326299753775</v>
      </c>
      <c r="AE26" s="37">
        <f t="shared" si="33"/>
        <v>4.6300306104347611</v>
      </c>
      <c r="AF26" s="40">
        <f t="shared" si="5"/>
        <v>494.0854569159992</v>
      </c>
      <c r="AG26" s="32">
        <f t="shared" si="34"/>
        <v>659.34349833387273</v>
      </c>
      <c r="AH26" s="32">
        <f t="shared" si="35"/>
        <v>17.25667580292329</v>
      </c>
      <c r="AI26" s="33">
        <f t="shared" si="36"/>
        <v>4.8404501623965448</v>
      </c>
      <c r="AJ26" s="33">
        <f t="shared" si="37"/>
        <v>7.6678028265591802</v>
      </c>
      <c r="AK26" s="39">
        <f t="shared" si="6"/>
        <v>612.93237935275795</v>
      </c>
      <c r="AL26" s="36">
        <f t="shared" si="38"/>
        <v>616.3768881977677</v>
      </c>
      <c r="AM26" s="36">
        <f t="shared" si="39"/>
        <v>13.9860681007571</v>
      </c>
      <c r="AN26" s="37">
        <f t="shared" si="40"/>
        <v>5.5831831225078687</v>
      </c>
      <c r="AO26" s="40">
        <f t="shared" si="7"/>
        <v>666.84003220046338</v>
      </c>
      <c r="AP26" s="32">
        <f t="shared" si="56"/>
        <v>647.58447300870034</v>
      </c>
      <c r="AQ26" s="32">
        <f t="shared" si="41"/>
        <v>16.626680303825253</v>
      </c>
      <c r="AR26" s="33">
        <f t="shared" si="42"/>
        <v>4.934260182692781</v>
      </c>
      <c r="AS26" s="33">
        <f t="shared" si="43"/>
        <v>7.7513789871405052</v>
      </c>
      <c r="AT26" s="39">
        <f t="shared" si="8"/>
        <v>630.86422453926491</v>
      </c>
      <c r="AU26" s="36">
        <f t="shared" si="44"/>
        <v>673.87722482004278</v>
      </c>
      <c r="AV26" s="36">
        <f t="shared" si="45"/>
        <v>17.928736155913839</v>
      </c>
      <c r="AW26" s="37">
        <f t="shared" si="46"/>
        <v>4.7617026039960981</v>
      </c>
      <c r="AX26" s="40">
        <f t="shared" si="9"/>
        <v>563.28401731929466</v>
      </c>
      <c r="AY26" s="2">
        <f t="shared" si="57"/>
        <v>5.2275630268705475</v>
      </c>
      <c r="AZ26" s="2">
        <f t="shared" si="47"/>
        <v>620.8653055035328</v>
      </c>
      <c r="BA26" s="2">
        <f t="shared" si="48"/>
        <v>624.71798572891282</v>
      </c>
      <c r="BB26" s="44">
        <f t="shared" ref="BB26:BB72" si="60">IF(AY26&gt;5,BA26,AZ26)</f>
        <v>624.71798572891282</v>
      </c>
      <c r="BC26">
        <f t="shared" si="49"/>
        <v>24</v>
      </c>
      <c r="BD26" s="2">
        <f t="shared" si="50"/>
        <v>140.76304587443721</v>
      </c>
      <c r="BE26" s="2">
        <f t="shared" si="51"/>
        <v>499.7743885831303</v>
      </c>
      <c r="BF26" s="2">
        <f t="shared" si="10"/>
        <v>123.13145531084551</v>
      </c>
      <c r="BG26" s="24">
        <f t="shared" si="11"/>
        <v>0.87474276040233356</v>
      </c>
      <c r="BH26">
        <v>20</v>
      </c>
      <c r="BI26">
        <v>1020</v>
      </c>
    </row>
    <row r="27" spans="1:61" x14ac:dyDescent="0.25">
      <c r="A27" s="20">
        <f t="shared" si="12"/>
        <v>30</v>
      </c>
      <c r="B27" s="20">
        <v>0.5</v>
      </c>
      <c r="C27" s="27">
        <f t="shared" si="58"/>
        <v>624.71798572891282</v>
      </c>
      <c r="D27" s="2">
        <f t="shared" si="13"/>
        <v>16.905783310821654</v>
      </c>
      <c r="E27" s="2">
        <f t="shared" si="14"/>
        <v>652.57485325898642</v>
      </c>
      <c r="F27" s="25">
        <f t="shared" si="15"/>
        <v>9.4638156170212486</v>
      </c>
      <c r="G27">
        <f t="shared" si="16"/>
        <v>1.4168229144420743E-4</v>
      </c>
      <c r="H27">
        <f t="shared" si="17"/>
        <v>2.4701553701465801E-4</v>
      </c>
      <c r="I27" s="51">
        <f t="shared" si="59"/>
        <v>1.2922279465870968E-4</v>
      </c>
      <c r="J27" s="28">
        <f t="shared" si="52"/>
        <v>0.24418823862719424</v>
      </c>
      <c r="K27" s="24">
        <f t="shared" si="53"/>
        <v>5.6115997585372011</v>
      </c>
      <c r="L27" s="33">
        <f t="shared" si="54"/>
        <v>8.2968928876770338</v>
      </c>
      <c r="M27" s="39">
        <f t="shared" si="55"/>
        <v>679.59922534793907</v>
      </c>
      <c r="N27" s="40">
        <f t="shared" si="18"/>
        <v>320.20230785230314</v>
      </c>
      <c r="O27" s="32">
        <f t="shared" si="19"/>
        <v>681.47879777337948</v>
      </c>
      <c r="P27" s="32">
        <f t="shared" si="20"/>
        <v>18.246441592364175</v>
      </c>
      <c r="Q27" s="33">
        <f t="shared" si="21"/>
        <v>5.4295747798852876</v>
      </c>
      <c r="R27" s="33">
        <f t="shared" si="22"/>
        <v>8.1600141675653273</v>
      </c>
      <c r="S27" s="39">
        <f t="shared" si="23"/>
        <v>640.03878239835467</v>
      </c>
      <c r="T27" s="36">
        <f t="shared" si="24"/>
        <v>606.88494059590346</v>
      </c>
      <c r="U27" s="36">
        <f t="shared" si="25"/>
        <v>10.692717264193757</v>
      </c>
      <c r="V27" s="37">
        <f t="shared" si="26"/>
        <v>8.2510634937517882</v>
      </c>
      <c r="W27" s="40">
        <f t="shared" si="3"/>
        <v>835.00686783678941</v>
      </c>
      <c r="X27" s="32">
        <f t="shared" si="27"/>
        <v>659.67712346930227</v>
      </c>
      <c r="Y27" s="32">
        <f t="shared" si="28"/>
        <v>17.273256844460292</v>
      </c>
      <c r="Z27" s="33">
        <f t="shared" si="29"/>
        <v>5.5519921641915824</v>
      </c>
      <c r="AA27" s="33">
        <f t="shared" si="30"/>
        <v>8.2528322387367723</v>
      </c>
      <c r="AB27" s="39">
        <f t="shared" si="4"/>
        <v>668.71231217537127</v>
      </c>
      <c r="AC27" s="36">
        <f t="shared" si="31"/>
        <v>826.34230983835278</v>
      </c>
      <c r="AD27" s="36">
        <f t="shared" si="32"/>
        <v>22.408815898704852</v>
      </c>
      <c r="AE27" s="37">
        <f t="shared" si="33"/>
        <v>5.3608386089130242</v>
      </c>
      <c r="AF27" s="40">
        <f t="shared" si="5"/>
        <v>494.3082062678036</v>
      </c>
      <c r="AG27" s="32">
        <f t="shared" si="34"/>
        <v>674.95770125906188</v>
      </c>
      <c r="AH27" s="32">
        <f t="shared" si="35"/>
        <v>17.975127857857377</v>
      </c>
      <c r="AI27" s="33">
        <f t="shared" si="36"/>
        <v>5.4587879019932544</v>
      </c>
      <c r="AJ27" s="33">
        <f t="shared" si="37"/>
        <v>8.1824507166554401</v>
      </c>
      <c r="AK27" s="39">
        <f t="shared" si="6"/>
        <v>647.99934568343076</v>
      </c>
      <c r="AL27" s="36">
        <f t="shared" si="38"/>
        <v>616.40873723237883</v>
      </c>
      <c r="AM27" s="36">
        <f t="shared" si="39"/>
        <v>13.9907213367272</v>
      </c>
      <c r="AN27" s="37">
        <f t="shared" si="40"/>
        <v>6.4050176527801774</v>
      </c>
      <c r="AO27" s="40">
        <f t="shared" si="7"/>
        <v>724.32391317901261</v>
      </c>
      <c r="AP27" s="32">
        <f t="shared" si="56"/>
        <v>663.65296929259227</v>
      </c>
      <c r="AQ27" s="32">
        <f t="shared" si="41"/>
        <v>17.466268877080218</v>
      </c>
      <c r="AR27" s="33">
        <f t="shared" si="42"/>
        <v>5.5237313977276958</v>
      </c>
      <c r="AS27" s="33">
        <f t="shared" si="43"/>
        <v>8.2316840901307096</v>
      </c>
      <c r="AT27" s="39">
        <f t="shared" si="8"/>
        <v>663.00282563430551</v>
      </c>
      <c r="AU27" s="36">
        <f t="shared" si="44"/>
        <v>712.78052565843586</v>
      </c>
      <c r="AV27" s="36">
        <f t="shared" si="45"/>
        <v>19.38888629689103</v>
      </c>
      <c r="AW27" s="37">
        <f t="shared" si="46"/>
        <v>5.3443465681929601</v>
      </c>
      <c r="AX27" s="40">
        <f t="shared" si="9"/>
        <v>572.18033151098109</v>
      </c>
      <c r="AY27" s="27">
        <f t="shared" si="57"/>
        <v>5.9156690709294706</v>
      </c>
      <c r="AZ27" s="27">
        <f t="shared" si="47"/>
        <v>654.93831647286549</v>
      </c>
      <c r="BA27" s="27">
        <f t="shared" si="48"/>
        <v>656.45482969864668</v>
      </c>
      <c r="BB27" s="49">
        <f>IF(AY27&gt;5,BA27,AZ27)</f>
        <v>656.45482969864668</v>
      </c>
      <c r="BC27" s="20">
        <f t="shared" si="49"/>
        <v>30</v>
      </c>
      <c r="BD27" s="27">
        <f>I27*10^6</f>
        <v>129.22279465870969</v>
      </c>
      <c r="BE27" s="27">
        <f t="shared" si="51"/>
        <v>525.16386375891739</v>
      </c>
      <c r="BF27" s="27">
        <f t="shared" si="10"/>
        <v>106.25935839526058</v>
      </c>
      <c r="BG27" s="54">
        <f t="shared" si="11"/>
        <v>0.82229577742767568</v>
      </c>
      <c r="BH27">
        <v>50</v>
      </c>
      <c r="BI27">
        <v>350</v>
      </c>
    </row>
    <row r="28" spans="1:61" x14ac:dyDescent="0.25">
      <c r="A28">
        <f t="shared" si="12"/>
        <v>36</v>
      </c>
      <c r="B28">
        <v>0.6</v>
      </c>
      <c r="C28" s="2">
        <f t="shared" si="58"/>
        <v>656.45482969864668</v>
      </c>
      <c r="D28" s="2">
        <f t="shared" si="13"/>
        <v>17.672835394109121</v>
      </c>
      <c r="E28" s="2">
        <f t="shared" si="14"/>
        <v>668.09740618684555</v>
      </c>
      <c r="F28" s="25">
        <f t="shared" si="15"/>
        <v>11.122080481183721</v>
      </c>
      <c r="G28">
        <f t="shared" si="16"/>
        <v>1.306940121919613E-4</v>
      </c>
      <c r="H28">
        <f t="shared" si="17"/>
        <v>2.2785805676293967E-4</v>
      </c>
      <c r="I28" s="51">
        <f t="shared" si="59"/>
        <v>1.1964405453285051E-4</v>
      </c>
      <c r="J28" s="28">
        <f t="shared" si="52"/>
        <v>0.22891636287778158</v>
      </c>
      <c r="K28" s="24">
        <f t="shared" si="53"/>
        <v>6.1060231121555626</v>
      </c>
      <c r="L28" s="33">
        <f t="shared" si="54"/>
        <v>8.6346964418644987</v>
      </c>
      <c r="M28" s="39">
        <f t="shared" si="55"/>
        <v>699.4797024011591</v>
      </c>
      <c r="N28" s="40">
        <f t="shared" si="18"/>
        <v>330.33225823815286</v>
      </c>
      <c r="O28" s="32">
        <f t="shared" si="19"/>
        <v>694.4706137005785</v>
      </c>
      <c r="P28" s="32">
        <f t="shared" si="20"/>
        <v>18.748735443176983</v>
      </c>
      <c r="Q28" s="33">
        <f t="shared" si="21"/>
        <v>5.9828316586462948</v>
      </c>
      <c r="R28" s="33">
        <f t="shared" si="22"/>
        <v>8.5550433306064662</v>
      </c>
      <c r="S28" s="39">
        <f t="shared" si="23"/>
        <v>666.70877021990509</v>
      </c>
      <c r="T28" s="36">
        <f t="shared" si="24"/>
        <v>607.06086684416857</v>
      </c>
      <c r="U28" s="36">
        <f t="shared" si="25"/>
        <v>10.866000065225101</v>
      </c>
      <c r="V28" s="37">
        <f t="shared" si="26"/>
        <v>9.023757691790891</v>
      </c>
      <c r="W28" s="40">
        <f t="shared" si="3"/>
        <v>883.89976923786003</v>
      </c>
      <c r="X28" s="32">
        <f t="shared" si="27"/>
        <v>673.80192014430736</v>
      </c>
      <c r="Y28" s="32">
        <f t="shared" si="28"/>
        <v>17.925486667586618</v>
      </c>
      <c r="Z28" s="33">
        <f t="shared" si="29"/>
        <v>6.0713627185479995</v>
      </c>
      <c r="AA28" s="33">
        <f t="shared" si="30"/>
        <v>8.6125812151145063</v>
      </c>
      <c r="AB28" s="39">
        <f t="shared" si="4"/>
        <v>691.7814526459764</v>
      </c>
      <c r="AC28" s="36">
        <f t="shared" si="31"/>
        <v>895.60591535485526</v>
      </c>
      <c r="AD28" s="36">
        <f t="shared" si="32"/>
        <v>23.830218316973699</v>
      </c>
      <c r="AE28" s="37">
        <f t="shared" si="33"/>
        <v>6.0703512697344619</v>
      </c>
      <c r="AF28" s="40">
        <f t="shared" si="5"/>
        <v>491.3958719459585</v>
      </c>
      <c r="AG28" s="32">
        <f t="shared" si="34"/>
        <v>689.26998189656933</v>
      </c>
      <c r="AH28" s="32">
        <f t="shared" si="35"/>
        <v>18.553183541103238</v>
      </c>
      <c r="AI28" s="33">
        <f t="shared" si="36"/>
        <v>6.00061571163282</v>
      </c>
      <c r="AJ28" s="33">
        <f t="shared" si="37"/>
        <v>8.5667233528087365</v>
      </c>
      <c r="AK28" s="39">
        <f t="shared" si="6"/>
        <v>672.65628622567567</v>
      </c>
      <c r="AL28" s="36">
        <f t="shared" si="38"/>
        <v>615.99859715034313</v>
      </c>
      <c r="AM28" s="36">
        <f t="shared" si="39"/>
        <v>13.929970375723236</v>
      </c>
      <c r="AN28" s="37">
        <f t="shared" si="40"/>
        <v>7.1425686113000486</v>
      </c>
      <c r="AO28" s="40">
        <f t="shared" si="7"/>
        <v>774.97739164182087</v>
      </c>
      <c r="AP28" s="32">
        <f t="shared" si="56"/>
        <v>677.2728234379581</v>
      </c>
      <c r="AQ28" s="32">
        <f t="shared" si="41"/>
        <v>18.07310930000402</v>
      </c>
      <c r="AR28" s="33">
        <f t="shared" si="42"/>
        <v>6.0527908132755215</v>
      </c>
      <c r="AS28" s="33">
        <f t="shared" si="43"/>
        <v>8.6006364880054313</v>
      </c>
      <c r="AT28" s="39">
        <f t="shared" si="8"/>
        <v>687.28168535432519</v>
      </c>
      <c r="AU28" s="36">
        <f t="shared" si="44"/>
        <v>757.87443068089408</v>
      </c>
      <c r="AV28" s="36">
        <f t="shared" si="45"/>
        <v>20.736885510549435</v>
      </c>
      <c r="AW28" s="37">
        <f t="shared" si="46"/>
        <v>5.9030792763391133</v>
      </c>
      <c r="AX28" s="40">
        <f t="shared" si="9"/>
        <v>572.64252835988452</v>
      </c>
      <c r="AY28" s="2">
        <f t="shared" si="57"/>
        <v>6.5309197189083941</v>
      </c>
      <c r="AZ28" s="2">
        <f t="shared" si="47"/>
        <v>679.60704861147065</v>
      </c>
      <c r="BA28" s="2">
        <f t="shared" si="48"/>
        <v>680.728890296381</v>
      </c>
      <c r="BB28" s="44">
        <f t="shared" si="60"/>
        <v>680.728890296381</v>
      </c>
      <c r="BC28">
        <f t="shared" si="49"/>
        <v>36</v>
      </c>
      <c r="BD28" s="2">
        <f t="shared" si="50"/>
        <v>119.6440545328505</v>
      </c>
      <c r="BE28" s="2">
        <f t="shared" si="51"/>
        <v>544.58311223710484</v>
      </c>
      <c r="BF28" s="2">
        <f t="shared" si="10"/>
        <v>93.63407945175436</v>
      </c>
      <c r="BG28" s="24">
        <f t="shared" si="11"/>
        <v>0.782605369045274</v>
      </c>
      <c r="BH28">
        <v>100</v>
      </c>
      <c r="BI28">
        <v>192</v>
      </c>
    </row>
    <row r="29" spans="1:61" x14ac:dyDescent="0.25">
      <c r="A29">
        <f t="shared" si="12"/>
        <v>42</v>
      </c>
      <c r="B29">
        <v>0.7</v>
      </c>
      <c r="C29" s="2">
        <f t="shared" si="58"/>
        <v>680.728890296381</v>
      </c>
      <c r="D29" s="2">
        <f t="shared" si="13"/>
        <v>18.274746110052856</v>
      </c>
      <c r="E29" s="2">
        <f t="shared" si="14"/>
        <v>682.17906537404554</v>
      </c>
      <c r="F29" s="25">
        <f t="shared" si="15"/>
        <v>12.812866626066825</v>
      </c>
      <c r="G29">
        <f t="shared" si="16"/>
        <v>1.217658639769853E-4</v>
      </c>
      <c r="H29">
        <f t="shared" si="17"/>
        <v>2.1229230536670953E-4</v>
      </c>
      <c r="I29" s="51">
        <f t="shared" si="59"/>
        <v>1.1186117883473544E-4</v>
      </c>
      <c r="J29" s="28">
        <f t="shared" si="52"/>
        <v>0.21631803449921069</v>
      </c>
      <c r="K29" s="24">
        <f t="shared" si="53"/>
        <v>6.5766841575844168</v>
      </c>
      <c r="L29" s="33">
        <f t="shared" si="54"/>
        <v>8.9128457713417379</v>
      </c>
      <c r="M29" s="39">
        <f t="shared" si="55"/>
        <v>714.68300253395876</v>
      </c>
      <c r="N29" s="40">
        <f t="shared" si="18"/>
        <v>339.34720510132468</v>
      </c>
      <c r="O29" s="32">
        <f t="shared" si="19"/>
        <v>705.39285992495832</v>
      </c>
      <c r="P29" s="32">
        <f t="shared" si="20"/>
        <v>19.138831178926168</v>
      </c>
      <c r="Q29" s="33">
        <f t="shared" si="21"/>
        <v>6.4934514485931407</v>
      </c>
      <c r="R29" s="33">
        <f t="shared" si="22"/>
        <v>8.8665898160031613</v>
      </c>
      <c r="S29" s="39">
        <f t="shared" si="23"/>
        <v>687.57647288345902</v>
      </c>
      <c r="T29" s="36">
        <f t="shared" si="24"/>
        <v>607.21099090193695</v>
      </c>
      <c r="U29" s="36">
        <f t="shared" si="25"/>
        <v>11.02214264092791</v>
      </c>
      <c r="V29" s="37">
        <f t="shared" si="26"/>
        <v>9.7058493655838713</v>
      </c>
      <c r="W29" s="40">
        <f t="shared" si="3"/>
        <v>926.28859472631223</v>
      </c>
      <c r="X29" s="32">
        <f t="shared" si="27"/>
        <v>686.5206016057042</v>
      </c>
      <c r="Y29" s="32">
        <f t="shared" si="28"/>
        <v>18.446928711619577</v>
      </c>
      <c r="Z29" s="33">
        <f t="shared" si="29"/>
        <v>6.5567625299585979</v>
      </c>
      <c r="AA29" s="33">
        <f t="shared" si="30"/>
        <v>8.9018861808726886</v>
      </c>
      <c r="AB29" s="39">
        <f t="shared" si="4"/>
        <v>709.29012291351648</v>
      </c>
      <c r="AC29" s="36">
        <f t="shared" si="31"/>
        <v>966.46371489010596</v>
      </c>
      <c r="AD29" s="36">
        <f t="shared" si="32"/>
        <v>25.105872280276905</v>
      </c>
      <c r="AE29" s="37">
        <f t="shared" si="33"/>
        <v>6.7821936858301699</v>
      </c>
      <c r="AF29" s="40">
        <f t="shared" si="5"/>
        <v>486.48416421741393</v>
      </c>
      <c r="AG29" s="32">
        <f t="shared" si="34"/>
        <v>701.41796527215638</v>
      </c>
      <c r="AH29" s="32">
        <f t="shared" si="35"/>
        <v>18.999864765792651</v>
      </c>
      <c r="AI29" s="33">
        <f t="shared" si="36"/>
        <v>6.5040867518770629</v>
      </c>
      <c r="AJ29" s="33">
        <f t="shared" si="37"/>
        <v>8.8725689021669343</v>
      </c>
      <c r="AK29" s="39">
        <f t="shared" si="6"/>
        <v>691.93921568092992</v>
      </c>
      <c r="AL29" s="36">
        <f t="shared" si="38"/>
        <v>615.33714895609842</v>
      </c>
      <c r="AM29" s="36">
        <f t="shared" si="39"/>
        <v>13.827943123399342</v>
      </c>
      <c r="AN29" s="37">
        <f t="shared" si="40"/>
        <v>7.8399898482246799</v>
      </c>
      <c r="AO29" s="40">
        <f t="shared" si="7"/>
        <v>821.51175555023553</v>
      </c>
      <c r="AP29" s="32">
        <f t="shared" si="56"/>
        <v>689.37438064755929</v>
      </c>
      <c r="AQ29" s="32">
        <f t="shared" si="41"/>
        <v>18.557177733794706</v>
      </c>
      <c r="AR29" s="33">
        <f t="shared" si="42"/>
        <v>6.5449022138316311</v>
      </c>
      <c r="AS29" s="33">
        <f t="shared" si="43"/>
        <v>8.895328120074506</v>
      </c>
      <c r="AT29" s="39">
        <f t="shared" si="8"/>
        <v>705.83352517841138</v>
      </c>
      <c r="AU29" s="36">
        <f t="shared" si="44"/>
        <v>809.42551416070251</v>
      </c>
      <c r="AV29" s="36">
        <f t="shared" si="45"/>
        <v>22.025918961984289</v>
      </c>
      <c r="AW29" s="37">
        <f t="shared" si="46"/>
        <v>6.4744488277647996</v>
      </c>
      <c r="AX29" s="40">
        <f t="shared" si="9"/>
        <v>567.53634475633658</v>
      </c>
      <c r="AY29" s="2">
        <f t="shared" si="57"/>
        <v>7.1127105839579947</v>
      </c>
      <c r="AZ29" s="2">
        <f t="shared" si="47"/>
        <v>698.65983416407926</v>
      </c>
      <c r="BA29" s="2">
        <f t="shared" si="48"/>
        <v>700.45521481257458</v>
      </c>
      <c r="BB29" s="44">
        <f t="shared" si="60"/>
        <v>700.45521481257458</v>
      </c>
      <c r="BC29">
        <f t="shared" si="49"/>
        <v>42</v>
      </c>
      <c r="BD29" s="2">
        <f t="shared" si="50"/>
        <v>111.86117883473544</v>
      </c>
      <c r="BE29" s="2">
        <f t="shared" si="51"/>
        <v>560.36417185005973</v>
      </c>
      <c r="BF29" s="2">
        <f t="shared" si="10"/>
        <v>83.886450540089712</v>
      </c>
      <c r="BG29" s="24">
        <f t="shared" si="11"/>
        <v>0.74991566702532431</v>
      </c>
    </row>
    <row r="30" spans="1:61" x14ac:dyDescent="0.25">
      <c r="A30">
        <f t="shared" si="12"/>
        <v>48</v>
      </c>
      <c r="B30">
        <v>0.8</v>
      </c>
      <c r="C30" s="2">
        <f t="shared" si="58"/>
        <v>700.45521481257458</v>
      </c>
      <c r="D30" s="2">
        <f t="shared" si="13"/>
        <v>18.77361029859054</v>
      </c>
      <c r="E30" s="2">
        <f t="shared" si="14"/>
        <v>695.14525788456012</v>
      </c>
      <c r="F30" s="25">
        <f t="shared" si="15"/>
        <v>14.525095037219941</v>
      </c>
      <c r="G30">
        <f t="shared" si="16"/>
        <v>1.1436396817398093E-4</v>
      </c>
      <c r="H30">
        <f t="shared" si="17"/>
        <v>1.993874938474403E-4</v>
      </c>
      <c r="I30" s="51">
        <f t="shared" si="59"/>
        <v>1.0540877307510082E-4</v>
      </c>
      <c r="J30" s="28">
        <f t="shared" si="52"/>
        <v>0.205732857082744</v>
      </c>
      <c r="K30" s="24">
        <f t="shared" si="53"/>
        <v>7.0254966220619277</v>
      </c>
      <c r="L30" s="33">
        <f t="shared" si="54"/>
        <v>9.141711201297511</v>
      </c>
      <c r="M30" s="39">
        <f t="shared" si="55"/>
        <v>726.04066324146038</v>
      </c>
      <c r="N30" s="40">
        <f t="shared" si="18"/>
        <v>347.38869752980776</v>
      </c>
      <c r="O30" s="32">
        <f t="shared" si="19"/>
        <v>714.13449710038321</v>
      </c>
      <c r="P30" s="32">
        <f t="shared" si="20"/>
        <v>19.433631813448258</v>
      </c>
      <c r="Q30" s="33">
        <f t="shared" si="21"/>
        <v>6.9722878034642424</v>
      </c>
      <c r="R30" s="33">
        <f t="shared" si="22"/>
        <v>9.116337302215614</v>
      </c>
      <c r="S30" s="39">
        <f t="shared" si="23"/>
        <v>704.77320635701767</v>
      </c>
      <c r="T30" s="36">
        <f t="shared" si="24"/>
        <v>607.34616424382318</v>
      </c>
      <c r="U30" s="36">
        <f t="shared" si="25"/>
        <v>11.162960770063023</v>
      </c>
      <c r="V30" s="37">
        <f t="shared" si="26"/>
        <v>10.323005480561905</v>
      </c>
      <c r="W30" s="40">
        <f t="shared" si="3"/>
        <v>963.93892014925325</v>
      </c>
      <c r="X30" s="32">
        <f t="shared" si="27"/>
        <v>698.17421289173626</v>
      </c>
      <c r="Y30" s="32">
        <f t="shared" si="28"/>
        <v>18.883971937291932</v>
      </c>
      <c r="Z30" s="33">
        <f t="shared" si="29"/>
        <v>7.0148715192097804</v>
      </c>
      <c r="AA30" s="33">
        <f t="shared" si="30"/>
        <v>9.1366811347129691</v>
      </c>
      <c r="AB30" s="39">
        <f t="shared" si="4"/>
        <v>722.49305456852551</v>
      </c>
      <c r="AC30" s="36">
        <f t="shared" si="31"/>
        <v>1038.482525233261</v>
      </c>
      <c r="AD30" s="36">
        <f t="shared" si="32"/>
        <v>26.272676503784965</v>
      </c>
      <c r="AE30" s="37">
        <f t="shared" si="33"/>
        <v>7.4997042608963245</v>
      </c>
      <c r="AF30" s="40">
        <f t="shared" si="5"/>
        <v>480.51351349271062</v>
      </c>
      <c r="AG30" s="32">
        <f t="shared" si="34"/>
        <v>711.3494554762608</v>
      </c>
      <c r="AH30" s="32">
        <f t="shared" si="35"/>
        <v>19.341239391540213</v>
      </c>
      <c r="AI30" s="33">
        <f t="shared" si="36"/>
        <v>6.9782731737420809</v>
      </c>
      <c r="AJ30" s="33">
        <f t="shared" si="37"/>
        <v>9.1192145929091772</v>
      </c>
      <c r="AK30" s="39">
        <f t="shared" si="6"/>
        <v>707.75581177417826</v>
      </c>
      <c r="AL30" s="36">
        <f t="shared" si="38"/>
        <v>614.58272654925145</v>
      </c>
      <c r="AM30" s="36">
        <f t="shared" si="39"/>
        <v>13.704646952968444</v>
      </c>
      <c r="AN30" s="37">
        <f t="shared" si="40"/>
        <v>8.508671583138792</v>
      </c>
      <c r="AO30" s="40">
        <f t="shared" si="7"/>
        <v>864.83500656069782</v>
      </c>
      <c r="AP30" s="32">
        <f t="shared" si="56"/>
        <v>700.30743679344164</v>
      </c>
      <c r="AQ30" s="32">
        <f t="shared" si="41"/>
        <v>18.960446909543844</v>
      </c>
      <c r="AR30" s="33">
        <f t="shared" si="42"/>
        <v>7.0079247853116371</v>
      </c>
      <c r="AS30" s="33">
        <f t="shared" si="43"/>
        <v>9.1333825608283181</v>
      </c>
      <c r="AT30" s="39">
        <f t="shared" si="8"/>
        <v>720.0322067128908</v>
      </c>
      <c r="AU30" s="36">
        <f t="shared" si="44"/>
        <v>867.06933537898499</v>
      </c>
      <c r="AV30" s="36">
        <f t="shared" si="45"/>
        <v>23.269603156441889</v>
      </c>
      <c r="AW30" s="37">
        <f t="shared" si="46"/>
        <v>7.0699137221200044</v>
      </c>
      <c r="AX30" s="40">
        <f t="shared" si="9"/>
        <v>558.77370337447326</v>
      </c>
      <c r="AY30" s="2">
        <f t="shared" si="57"/>
        <v>7.6718315410555959</v>
      </c>
      <c r="AZ30" s="2">
        <f t="shared" si="47"/>
        <v>713.76356985315306</v>
      </c>
      <c r="BA30" s="2">
        <f t="shared" si="48"/>
        <v>717.01528589428381</v>
      </c>
      <c r="BB30" s="44">
        <f t="shared" si="60"/>
        <v>717.01528589428381</v>
      </c>
      <c r="BC30">
        <f t="shared" si="49"/>
        <v>48</v>
      </c>
      <c r="BD30" s="2">
        <f t="shared" si="50"/>
        <v>105.40877307510083</v>
      </c>
      <c r="BE30" s="2">
        <f t="shared" si="51"/>
        <v>573.61222871542702</v>
      </c>
      <c r="BF30" s="2">
        <f t="shared" si="10"/>
        <v>76.112716952952184</v>
      </c>
      <c r="BG30" s="24">
        <f t="shared" si="11"/>
        <v>0.72207193701727257</v>
      </c>
    </row>
    <row r="31" spans="1:61" x14ac:dyDescent="0.25">
      <c r="A31">
        <f t="shared" si="12"/>
        <v>54</v>
      </c>
      <c r="B31">
        <v>0.9</v>
      </c>
      <c r="C31" s="2">
        <f t="shared" si="58"/>
        <v>717.01528589428381</v>
      </c>
      <c r="D31" s="2">
        <f t="shared" si="13"/>
        <v>19.199132413789755</v>
      </c>
      <c r="E31" s="2">
        <f t="shared" si="14"/>
        <v>707.1466938003814</v>
      </c>
      <c r="F31" s="25">
        <f t="shared" si="15"/>
        <v>16.254426481408409</v>
      </c>
      <c r="G31">
        <f t="shared" si="16"/>
        <v>1.081092568662852E-4</v>
      </c>
      <c r="H31">
        <f t="shared" si="17"/>
        <v>1.8848273746050313E-4</v>
      </c>
      <c r="I31" s="51">
        <f t="shared" si="59"/>
        <v>9.9956394881632238E-5</v>
      </c>
      <c r="J31" s="28">
        <f t="shared" si="52"/>
        <v>0.19668108261963765</v>
      </c>
      <c r="K31" s="24">
        <f t="shared" si="53"/>
        <v>7.4552725143358893</v>
      </c>
      <c r="L31" s="33">
        <f t="shared" si="54"/>
        <v>9.3302736440889067</v>
      </c>
      <c r="M31" s="39">
        <f t="shared" si="55"/>
        <v>734.37686204526119</v>
      </c>
      <c r="N31" s="40">
        <f t="shared" si="18"/>
        <v>354.65010069718875</v>
      </c>
      <c r="O31" s="32">
        <f t="shared" si="19"/>
        <v>720.87721652431424</v>
      </c>
      <c r="P31" s="32">
        <f t="shared" si="20"/>
        <v>19.651845790967847</v>
      </c>
      <c r="Q31" s="33">
        <f t="shared" si="21"/>
        <v>7.4249505200227928</v>
      </c>
      <c r="R31" s="33">
        <f t="shared" si="22"/>
        <v>9.3178972660772672</v>
      </c>
      <c r="S31" s="39">
        <f t="shared" si="23"/>
        <v>719.43363351957885</v>
      </c>
      <c r="T31" s="36">
        <f t="shared" si="24"/>
        <v>607.4738662822175</v>
      </c>
      <c r="U31" s="36">
        <f t="shared" si="25"/>
        <v>11.291362960801088</v>
      </c>
      <c r="V31" s="37">
        <f t="shared" si="26"/>
        <v>10.889723249981348</v>
      </c>
      <c r="W31" s="40">
        <f t="shared" si="3"/>
        <v>997.90376022896487</v>
      </c>
      <c r="X31" s="32">
        <f t="shared" si="27"/>
        <v>708.98763135592617</v>
      </c>
      <c r="Y31" s="32">
        <f t="shared" si="28"/>
        <v>19.261787515201121</v>
      </c>
      <c r="Z31" s="33">
        <f t="shared" si="29"/>
        <v>7.4503672813288162</v>
      </c>
      <c r="AA31" s="33">
        <f t="shared" si="30"/>
        <v>9.3282807650444823</v>
      </c>
      <c r="AB31" s="39">
        <f t="shared" si="4"/>
        <v>732.31354921956438</v>
      </c>
      <c r="AC31" s="36">
        <f t="shared" si="31"/>
        <v>1111.2564603203609</v>
      </c>
      <c r="AD31" s="36">
        <f t="shared" si="32"/>
        <v>27.352508369854441</v>
      </c>
      <c r="AE31" s="37">
        <f t="shared" si="33"/>
        <v>8.2234252823429248</v>
      </c>
      <c r="AF31" s="40">
        <f t="shared" si="5"/>
        <v>474.04537474392947</v>
      </c>
      <c r="AG31" s="32">
        <f t="shared" si="34"/>
        <v>719.18217050559258</v>
      </c>
      <c r="AH31" s="32">
        <f t="shared" si="35"/>
        <v>19.597690158286341</v>
      </c>
      <c r="AI31" s="33">
        <f t="shared" si="36"/>
        <v>7.4279613721668278</v>
      </c>
      <c r="AJ31" s="33">
        <f t="shared" si="37"/>
        <v>9.3191323115094455</v>
      </c>
      <c r="AK31" s="39">
        <f t="shared" si="6"/>
        <v>721.22485465957152</v>
      </c>
      <c r="AL31" s="36">
        <f t="shared" si="38"/>
        <v>613.82451331593711</v>
      </c>
      <c r="AM31" s="36">
        <f t="shared" si="39"/>
        <v>13.571978573925849</v>
      </c>
      <c r="AN31" s="37">
        <f t="shared" si="40"/>
        <v>9.1545431155329009</v>
      </c>
      <c r="AO31" s="40">
        <f t="shared" si="7"/>
        <v>905.4864295311553</v>
      </c>
      <c r="AP31" s="32">
        <f t="shared" si="56"/>
        <v>710.36595262104584</v>
      </c>
      <c r="AQ31" s="32">
        <f t="shared" si="41"/>
        <v>19.308279331718659</v>
      </c>
      <c r="AR31" s="33">
        <f t="shared" si="42"/>
        <v>7.4468769258415328</v>
      </c>
      <c r="AS31" s="33">
        <f t="shared" si="43"/>
        <v>9.3268605425603308</v>
      </c>
      <c r="AT31" s="39">
        <f t="shared" si="8"/>
        <v>730.78136533061627</v>
      </c>
      <c r="AU31" s="36">
        <f t="shared" si="44"/>
        <v>930.38206051431166</v>
      </c>
      <c r="AV31" s="36">
        <f t="shared" si="45"/>
        <v>24.474820287524842</v>
      </c>
      <c r="AW31" s="37">
        <f t="shared" si="46"/>
        <v>7.6944472713815495</v>
      </c>
      <c r="AX31" s="40">
        <f t="shared" si="9"/>
        <v>547.69051905781691</v>
      </c>
      <c r="AY31" s="2">
        <f t="shared" si="57"/>
        <v>8.2140368773248351</v>
      </c>
      <c r="AZ31" s="2">
        <f t="shared" si="47"/>
        <v>725.93835068233273</v>
      </c>
      <c r="BA31" s="2">
        <f t="shared" si="48"/>
        <v>731.2815208904666</v>
      </c>
      <c r="BB31" s="44">
        <f t="shared" si="60"/>
        <v>731.2815208904666</v>
      </c>
      <c r="BC31">
        <f t="shared" si="49"/>
        <v>54</v>
      </c>
      <c r="BD31" s="2">
        <f t="shared" si="50"/>
        <v>99.956394881632235</v>
      </c>
      <c r="BE31" s="2">
        <f t="shared" si="51"/>
        <v>585.02521671237332</v>
      </c>
      <c r="BF31" s="2">
        <f t="shared" si="10"/>
        <v>69.75289796470372</v>
      </c>
      <c r="BG31" s="24">
        <f t="shared" si="11"/>
        <v>0.69783327067072287</v>
      </c>
    </row>
    <row r="32" spans="1:61" x14ac:dyDescent="0.25">
      <c r="A32" s="20">
        <f t="shared" si="12"/>
        <v>60</v>
      </c>
      <c r="B32" s="20">
        <v>1</v>
      </c>
      <c r="C32" s="27">
        <f>BB31</f>
        <v>731.2815208904666</v>
      </c>
      <c r="D32" s="2">
        <f>((1.12*10^-5)*(C32^2))+(0.00982*C32)+6.4</f>
        <v>19.570638358458169</v>
      </c>
      <c r="E32" s="2">
        <f>((1.71*10^-6)*(C32^3))-(0.00173*(C32^2))+(0.6*C32)+536</f>
        <v>718.34082206523738</v>
      </c>
      <c r="F32" s="25">
        <f>B32*$E$10*4500*E32/(4*D32)</f>
        <v>17.998105173377272</v>
      </c>
      <c r="G32">
        <f>SQRT($E$10^2/F32)</f>
        <v>1.0273899536588869E-4</v>
      </c>
      <c r="H32">
        <f>G32/SIN($E$4)</f>
        <v>1.7911997225598949E-4</v>
      </c>
      <c r="I32" s="51">
        <f t="shared" si="59"/>
        <v>9.5275012279375418E-5</v>
      </c>
      <c r="J32" s="28">
        <f t="shared" si="52"/>
        <v>0.18882545343222615</v>
      </c>
      <c r="K32" s="24">
        <f t="shared" si="53"/>
        <v>7.8684119100434158</v>
      </c>
      <c r="L32" s="33">
        <f t="shared" si="54"/>
        <v>9.4856904700205025</v>
      </c>
      <c r="M32" s="39">
        <f t="shared" si="55"/>
        <v>740.29026360160708</v>
      </c>
      <c r="N32" s="40">
        <f t="shared" si="18"/>
        <v>361.2603964401091</v>
      </c>
      <c r="O32" s="32">
        <f t="shared" si="19"/>
        <v>725.83158638716259</v>
      </c>
      <c r="P32" s="32">
        <f t="shared" si="20"/>
        <v>19.807582741661157</v>
      </c>
      <c r="Q32" s="33">
        <f t="shared" si="21"/>
        <v>7.8553568079146023</v>
      </c>
      <c r="R32" s="33">
        <f t="shared" si="22"/>
        <v>9.4811441548763629</v>
      </c>
      <c r="S32" s="39">
        <f t="shared" si="23"/>
        <v>732.2991364349848</v>
      </c>
      <c r="T32" s="36">
        <f t="shared" si="24"/>
        <v>607.59820908293693</v>
      </c>
      <c r="U32" s="36">
        <f t="shared" si="25"/>
        <v>11.409278722245798</v>
      </c>
      <c r="V32" s="37">
        <f t="shared" si="26"/>
        <v>11.416154214592989</v>
      </c>
      <c r="W32" s="40">
        <f t="shared" si="3"/>
        <v>1028.9180404094675</v>
      </c>
      <c r="X32" s="32">
        <f t="shared" si="27"/>
        <v>719.17039095998916</v>
      </c>
      <c r="Y32" s="32">
        <f t="shared" si="28"/>
        <v>19.597312202293907</v>
      </c>
      <c r="Z32" s="33">
        <f t="shared" si="29"/>
        <v>7.8667766286198049</v>
      </c>
      <c r="AA32" s="33">
        <f t="shared" si="30"/>
        <v>9.4851222626762635</v>
      </c>
      <c r="AB32" s="39">
        <f t="shared" si="4"/>
        <v>739.39203939651634</v>
      </c>
      <c r="AC32" s="36">
        <f t="shared" si="31"/>
        <v>1184.5285647249934</v>
      </c>
      <c r="AD32" s="36">
        <f t="shared" si="32"/>
        <v>28.361105296277628</v>
      </c>
      <c r="AE32" s="37">
        <f t="shared" si="33"/>
        <v>8.9533160937693825</v>
      </c>
      <c r="AF32" s="40">
        <f t="shared" si="5"/>
        <v>467.39469007203553</v>
      </c>
      <c r="AG32" s="32">
        <f t="shared" si="34"/>
        <v>725.0697736518091</v>
      </c>
      <c r="AH32" s="32">
        <f t="shared" si="35"/>
        <v>19.783876411610713</v>
      </c>
      <c r="AI32" s="33">
        <f t="shared" si="36"/>
        <v>7.8565149639713878</v>
      </c>
      <c r="AJ32" s="33">
        <f t="shared" si="37"/>
        <v>9.4815484049528749</v>
      </c>
      <c r="AK32" s="39">
        <f t="shared" si="6"/>
        <v>733.09980092099795</v>
      </c>
      <c r="AL32" s="36">
        <f t="shared" si="38"/>
        <v>613.1061103694426</v>
      </c>
      <c r="AM32" s="36">
        <f t="shared" si="39"/>
        <v>13.436543175151773</v>
      </c>
      <c r="AN32" s="37">
        <f t="shared" si="40"/>
        <v>9.7815938015645969</v>
      </c>
      <c r="AO32" s="40">
        <f t="shared" si="7"/>
        <v>943.85769575301049</v>
      </c>
      <c r="AP32" s="32">
        <f t="shared" si="56"/>
        <v>719.82604948365065</v>
      </c>
      <c r="AQ32" s="32">
        <f t="shared" si="41"/>
        <v>19.61831560788076</v>
      </c>
      <c r="AR32" s="33">
        <f>($B32*$I32*4500*AP32)/(2*AQ32)</f>
        <v>7.8655188048378752</v>
      </c>
      <c r="AS32" s="33">
        <f t="shared" si="43"/>
        <v>9.4846849635545727</v>
      </c>
      <c r="AT32" s="39">
        <f t="shared" si="8"/>
        <v>738.68450140564823</v>
      </c>
      <c r="AU32" s="36">
        <f t="shared" si="44"/>
        <v>998.9710291406036</v>
      </c>
      <c r="AV32" s="36">
        <f t="shared" si="45"/>
        <v>25.646396890415005</v>
      </c>
      <c r="AW32" s="37">
        <f t="shared" si="46"/>
        <v>8.3500305839564319</v>
      </c>
      <c r="AX32" s="40">
        <f t="shared" si="9"/>
        <v>535.21526699301148</v>
      </c>
      <c r="AY32" s="27">
        <f>AVERAGE(AW32,AR32,AN32,AI32,AE32,Z32,V32,Q32)</f>
        <v>8.7431577374033829</v>
      </c>
      <c r="AZ32" s="27">
        <f t="shared" si="47"/>
        <v>735.86886953953672</v>
      </c>
      <c r="BA32" s="27">
        <f t="shared" si="48"/>
        <v>743.84642330688121</v>
      </c>
      <c r="BB32" s="49">
        <f t="shared" si="60"/>
        <v>743.84642330688121</v>
      </c>
      <c r="BC32" s="20">
        <f t="shared" si="49"/>
        <v>60</v>
      </c>
      <c r="BD32" s="27">
        <f t="shared" si="50"/>
        <v>95.275012279375417</v>
      </c>
      <c r="BE32" s="27">
        <f t="shared" si="51"/>
        <v>595.07713864550499</v>
      </c>
      <c r="BF32" s="27">
        <f t="shared" si="10"/>
        <v>64.442866812108164</v>
      </c>
      <c r="BG32" s="54">
        <f>BF32/BD32</f>
        <v>0.67638791400143838</v>
      </c>
    </row>
    <row r="33" spans="1:59" x14ac:dyDescent="0.25">
      <c r="A33">
        <f t="shared" si="12"/>
        <v>66</v>
      </c>
      <c r="B33">
        <v>1.1000000000000001</v>
      </c>
      <c r="C33" s="2">
        <f t="shared" si="58"/>
        <v>743.84642330688121</v>
      </c>
      <c r="D33" s="2">
        <f t="shared" si="13"/>
        <v>19.901615893297702</v>
      </c>
      <c r="E33" s="2">
        <f>((1.71*10^-6)*(C33^3))-(0.00173*(C33^2))+(0.6*C33)+536</f>
        <v>728.88050462968749</v>
      </c>
      <c r="F33" s="25">
        <f t="shared" si="15"/>
        <v>19.754312023118217</v>
      </c>
      <c r="G33">
        <f>SQRT($E$10^2/F33)</f>
        <v>9.8065839995968714E-5</v>
      </c>
      <c r="H33">
        <f t="shared" si="17"/>
        <v>1.7097257450086298E-4</v>
      </c>
      <c r="I33" s="51">
        <f t="shared" si="59"/>
        <v>9.1201313401812162E-5</v>
      </c>
      <c r="J33" s="28">
        <f t="shared" si="52"/>
        <v>0.18192252981412241</v>
      </c>
      <c r="K33" s="24">
        <f t="shared" si="53"/>
        <v>8.2669305717047425</v>
      </c>
      <c r="L33" s="33">
        <f t="shared" si="54"/>
        <v>9.6137161851184203</v>
      </c>
      <c r="M33" s="39">
        <f t="shared" si="55"/>
        <v>744.22194075965831</v>
      </c>
      <c r="N33" s="40">
        <f t="shared" si="18"/>
        <v>367.30516886845578</v>
      </c>
      <c r="O33" s="32">
        <f t="shared" si="19"/>
        <v>729.20553090811086</v>
      </c>
      <c r="P33" s="32">
        <f t="shared" si="20"/>
        <v>19.911561985870257</v>
      </c>
      <c r="Q33" s="33">
        <f t="shared" si="21"/>
        <v>8.2664857211880118</v>
      </c>
      <c r="R33" s="33">
        <f t="shared" si="22"/>
        <v>9.6135845026121025</v>
      </c>
      <c r="S33" s="39">
        <f t="shared" si="23"/>
        <v>743.88003193820236</v>
      </c>
      <c r="T33" s="36">
        <f t="shared" si="24"/>
        <v>607.72126961299273</v>
      </c>
      <c r="U33" s="36">
        <f t="shared" si="25"/>
        <v>11.517963333556066</v>
      </c>
      <c r="V33" s="37">
        <f t="shared" si="26"/>
        <v>11.90981569444528</v>
      </c>
      <c r="W33" s="40">
        <f t="shared" si="3"/>
        <v>1057.521751094373</v>
      </c>
      <c r="X33" s="32">
        <f t="shared" si="27"/>
        <v>728.90957034753274</v>
      </c>
      <c r="Y33" s="32">
        <f t="shared" si="28"/>
        <v>19.902505935096613</v>
      </c>
      <c r="Z33" s="33">
        <f t="shared" si="29"/>
        <v>8.2668905211982864</v>
      </c>
      <c r="AA33" s="33">
        <f t="shared" si="30"/>
        <v>9.6137043305543575</v>
      </c>
      <c r="AB33" s="39">
        <f t="shared" si="4"/>
        <v>744.19134679660101</v>
      </c>
      <c r="AC33" s="36">
        <f t="shared" si="31"/>
        <v>1258.149587363195</v>
      </c>
      <c r="AD33" s="36">
        <f t="shared" si="32"/>
        <v>29.310408840969082</v>
      </c>
      <c r="AE33" s="37">
        <f t="shared" si="33"/>
        <v>9.6891727518701547</v>
      </c>
      <c r="AF33" s="40">
        <f t="shared" si="5"/>
        <v>460.7361562792691</v>
      </c>
      <c r="AG33" s="32">
        <f t="shared" si="34"/>
        <v>729.17902851085182</v>
      </c>
      <c r="AH33" s="32">
        <f t="shared" si="35"/>
        <v>19.91075154478834</v>
      </c>
      <c r="AI33" s="33">
        <f t="shared" si="36"/>
        <v>8.2665217465670686</v>
      </c>
      <c r="AJ33" s="33">
        <f t="shared" si="37"/>
        <v>9.6135951675741076</v>
      </c>
      <c r="AK33" s="39">
        <f t="shared" si="6"/>
        <v>743.90789391472617</v>
      </c>
      <c r="AL33" s="36">
        <f t="shared" si="38"/>
        <v>612.44603295110221</v>
      </c>
      <c r="AM33" s="36">
        <f t="shared" si="39"/>
        <v>13.301940478535968</v>
      </c>
      <c r="AN33" s="37">
        <f t="shared" si="40"/>
        <v>10.392717486627085</v>
      </c>
      <c r="AO33" s="40">
        <f t="shared" si="7"/>
        <v>980.25250257576988</v>
      </c>
      <c r="AP33" s="32">
        <f t="shared" si="56"/>
        <v>728.93366976469554</v>
      </c>
      <c r="AQ33" s="32">
        <f t="shared" si="41"/>
        <v>19.903243810083417</v>
      </c>
      <c r="AR33" s="33">
        <f t="shared" si="42"/>
        <v>8.2668573540945065</v>
      </c>
      <c r="AS33" s="33">
        <f t="shared" si="43"/>
        <v>9.6136945132623062</v>
      </c>
      <c r="AT33" s="39">
        <f t="shared" si="8"/>
        <v>744.1659830165936</v>
      </c>
      <c r="AU33" s="36">
        <f t="shared" si="44"/>
        <v>1072.4858888936556</v>
      </c>
      <c r="AV33" s="36">
        <f t="shared" si="45"/>
        <v>26.78810322592193</v>
      </c>
      <c r="AW33" s="37">
        <f t="shared" si="46"/>
        <v>9.0370340556240212</v>
      </c>
      <c r="AX33" s="40">
        <f t="shared" si="9"/>
        <v>521.99049808871655</v>
      </c>
      <c r="AY33" s="2">
        <f t="shared" si="57"/>
        <v>9.2619369164518019</v>
      </c>
      <c r="AZ33" s="2">
        <f t="shared" si="47"/>
        <v>744.03631391653084</v>
      </c>
      <c r="BA33" s="2">
        <f t="shared" si="48"/>
        <v>755.12522700953218</v>
      </c>
      <c r="BB33" s="44">
        <f t="shared" si="60"/>
        <v>755.12522700953218</v>
      </c>
      <c r="BC33">
        <f t="shared" si="49"/>
        <v>66</v>
      </c>
      <c r="BD33" s="2">
        <f t="shared" si="50"/>
        <v>91.201313401812158</v>
      </c>
      <c r="BE33" s="2">
        <f t="shared" si="51"/>
        <v>604.10018160762581</v>
      </c>
      <c r="BF33" s="2">
        <f t="shared" si="10"/>
        <v>59.934954371443148</v>
      </c>
      <c r="BG33" s="24">
        <f t="shared" ref="BG33:BG72" si="61">BF33/BD33</f>
        <v>0.65717205307541382</v>
      </c>
    </row>
    <row r="34" spans="1:59" x14ac:dyDescent="0.25">
      <c r="A34">
        <f t="shared" si="12"/>
        <v>72</v>
      </c>
      <c r="B34">
        <v>1.2</v>
      </c>
      <c r="C34" s="2">
        <f t="shared" si="58"/>
        <v>755.12522700953218</v>
      </c>
      <c r="D34" s="2">
        <f t="shared" si="13"/>
        <v>20.20172774405502</v>
      </c>
      <c r="E34" s="2">
        <f t="shared" si="14"/>
        <v>738.90175790947137</v>
      </c>
      <c r="F34" s="25">
        <f t="shared" si="15"/>
        <v>21.521902605025648</v>
      </c>
      <c r="G34">
        <f t="shared" si="16"/>
        <v>9.3952507711545655E-5</v>
      </c>
      <c r="H34">
        <f t="shared" si="17"/>
        <v>1.6380119851026079E-4</v>
      </c>
      <c r="I34" s="51">
        <f t="shared" si="59"/>
        <v>8.7615625406511064E-5</v>
      </c>
      <c r="J34" s="28">
        <f t="shared" si="52"/>
        <v>0.17579195083058294</v>
      </c>
      <c r="K34" s="24">
        <f t="shared" si="53"/>
        <v>8.6525380019094076</v>
      </c>
      <c r="L34" s="33">
        <f t="shared" si="54"/>
        <v>9.7190386288416803</v>
      </c>
      <c r="M34" s="39">
        <f t="shared" si="55"/>
        <v>746.51088028938648</v>
      </c>
      <c r="N34" s="40">
        <f t="shared" si="18"/>
        <v>372.84499142433731</v>
      </c>
      <c r="O34" s="32">
        <f t="shared" si="19"/>
        <v>731.19945847568783</v>
      </c>
      <c r="P34" s="32">
        <f t="shared" si="20"/>
        <v>19.972255981614644</v>
      </c>
      <c r="Q34" s="33">
        <f t="shared" si="21"/>
        <v>8.6607213705654686</v>
      </c>
      <c r="R34" s="33">
        <f t="shared" si="22"/>
        <v>9.7210894793417086</v>
      </c>
      <c r="S34" s="39">
        <f t="shared" si="23"/>
        <v>754.53365034384626</v>
      </c>
      <c r="T34" s="36">
        <f t="shared" si="24"/>
        <v>607.84389574957436</v>
      </c>
      <c r="U34" s="36">
        <f t="shared" si="25"/>
        <v>11.618287757245392</v>
      </c>
      <c r="V34" s="37">
        <f t="shared" si="26"/>
        <v>12.376426312433725</v>
      </c>
      <c r="W34" s="40">
        <f t="shared" si="3"/>
        <v>1084.1236578050539</v>
      </c>
      <c r="X34" s="32">
        <f t="shared" si="27"/>
        <v>738.36271474729506</v>
      </c>
      <c r="Y34" s="32">
        <f t="shared" si="28"/>
        <v>20.18591597679012</v>
      </c>
      <c r="Z34" s="33">
        <f t="shared" si="29"/>
        <v>8.652998455968298</v>
      </c>
      <c r="AA34" s="33">
        <f t="shared" si="30"/>
        <v>9.7191542203045476</v>
      </c>
      <c r="AB34" s="39">
        <f t="shared" si="4"/>
        <v>747.06475699715077</v>
      </c>
      <c r="AC34" s="36">
        <f t="shared" si="31"/>
        <v>1332.0397950547122</v>
      </c>
      <c r="AD34" s="36">
        <f t="shared" si="32"/>
        <v>30.209724300266856</v>
      </c>
      <c r="AE34" s="37">
        <f t="shared" si="33"/>
        <v>10.430755543652245</v>
      </c>
      <c r="AF34" s="40">
        <f t="shared" si="5"/>
        <v>454.16528513643016</v>
      </c>
      <c r="AG34" s="32">
        <f t="shared" si="34"/>
        <v>731.685249598366</v>
      </c>
      <c r="AH34" s="32">
        <f t="shared" si="35"/>
        <v>19.986960326560794</v>
      </c>
      <c r="AI34" s="33">
        <f t="shared" si="36"/>
        <v>8.660099443912781</v>
      </c>
      <c r="AJ34" s="33">
        <f t="shared" si="37"/>
        <v>9.7209338762633521</v>
      </c>
      <c r="AK34" s="39">
        <f t="shared" si="6"/>
        <v>754.0206197632956</v>
      </c>
      <c r="AL34" s="36">
        <f t="shared" si="38"/>
        <v>611.84973477495828</v>
      </c>
      <c r="AM34" s="36">
        <f t="shared" si="39"/>
        <v>13.170083489737959</v>
      </c>
      <c r="AN34" s="37">
        <f t="shared" si="40"/>
        <v>10.990098313651067</v>
      </c>
      <c r="AO34" s="40">
        <f t="shared" si="7"/>
        <v>1014.9140478420244</v>
      </c>
      <c r="AP34" s="32">
        <f t="shared" si="56"/>
        <v>737.89645581699233</v>
      </c>
      <c r="AQ34" s="32">
        <f t="shared" si="41"/>
        <v>20.172209950391675</v>
      </c>
      <c r="AR34" s="33">
        <f t="shared" si="42"/>
        <v>8.6534098631605705</v>
      </c>
      <c r="AS34" s="33">
        <f t="shared" si="43"/>
        <v>9.719257479342069</v>
      </c>
      <c r="AT34" s="39">
        <f t="shared" si="8"/>
        <v>747.54475119734866</v>
      </c>
      <c r="AU34" s="36">
        <f t="shared" si="44"/>
        <v>1150.6168192068367</v>
      </c>
      <c r="AV34" s="36">
        <f t="shared" si="45"/>
        <v>27.903021824288011</v>
      </c>
      <c r="AW34" s="37">
        <f t="shared" si="46"/>
        <v>9.7549446329797505</v>
      </c>
      <c r="AX34" s="40">
        <f t="shared" si="9"/>
        <v>508.45782748338519</v>
      </c>
      <c r="AY34" s="2">
        <f t="shared" si="57"/>
        <v>9.7724317420404869</v>
      </c>
      <c r="AZ34" s="2">
        <f t="shared" si="47"/>
        <v>750.79094457541032</v>
      </c>
      <c r="BA34" s="2">
        <f t="shared" si="48"/>
        <v>765.41520456672333</v>
      </c>
      <c r="BB34" s="44">
        <f t="shared" si="60"/>
        <v>765.41520456672333</v>
      </c>
      <c r="BC34">
        <f t="shared" si="49"/>
        <v>72</v>
      </c>
      <c r="BD34" s="2">
        <f t="shared" si="50"/>
        <v>87.615625406511057</v>
      </c>
      <c r="BE34" s="2">
        <f t="shared" si="51"/>
        <v>612.33216365337864</v>
      </c>
      <c r="BF34" s="2">
        <f t="shared" si="10"/>
        <v>56.054468389758206</v>
      </c>
      <c r="BG34" s="24">
        <f t="shared" si="61"/>
        <v>0.63977707320676824</v>
      </c>
    </row>
    <row r="35" spans="1:59" x14ac:dyDescent="0.25">
      <c r="A35">
        <f t="shared" si="12"/>
        <v>78</v>
      </c>
      <c r="B35">
        <v>1.3</v>
      </c>
      <c r="C35" s="2">
        <f t="shared" si="58"/>
        <v>765.41520456672333</v>
      </c>
      <c r="D35" s="2">
        <f t="shared" si="13"/>
        <v>20.478014185122717</v>
      </c>
      <c r="E35" s="2">
        <f t="shared" si="14"/>
        <v>748.5198588714502</v>
      </c>
      <c r="F35" s="25">
        <f t="shared" si="15"/>
        <v>23.300222573535095</v>
      </c>
      <c r="G35">
        <f t="shared" si="16"/>
        <v>9.0296033365365623E-5</v>
      </c>
      <c r="H35">
        <f t="shared" si="17"/>
        <v>1.5742633002814246E-4</v>
      </c>
      <c r="I35" s="51">
        <f t="shared" si="59"/>
        <v>8.4428191165451902E-5</v>
      </c>
      <c r="J35" s="28">
        <f t="shared" si="52"/>
        <v>0.170297088292065</v>
      </c>
      <c r="K35" s="24">
        <f t="shared" si="53"/>
        <v>9.0266965442335323</v>
      </c>
      <c r="L35" s="33">
        <f t="shared" si="54"/>
        <v>9.8055240170399394</v>
      </c>
      <c r="M35" s="39">
        <f t="shared" si="55"/>
        <v>747.42794530462527</v>
      </c>
      <c r="N35" s="40">
        <f t="shared" si="18"/>
        <v>377.92590976647836</v>
      </c>
      <c r="O35" s="32">
        <f t="shared" si="19"/>
        <v>732.0044929385939</v>
      </c>
      <c r="P35" s="32">
        <f t="shared" si="20"/>
        <v>19.996605997221117</v>
      </c>
      <c r="Q35" s="33">
        <f t="shared" si="21"/>
        <v>9.0400495799989731</v>
      </c>
      <c r="R35" s="33">
        <f t="shared" si="22"/>
        <v>9.8083456456073765</v>
      </c>
      <c r="S35" s="39">
        <f t="shared" si="23"/>
        <v>764.51122441223254</v>
      </c>
      <c r="T35" s="36">
        <f t="shared" si="24"/>
        <v>607.96618029706212</v>
      </c>
      <c r="U35" s="36">
        <f t="shared" si="25"/>
        <v>11.710905958562407</v>
      </c>
      <c r="V35" s="37">
        <f t="shared" si="26"/>
        <v>12.820420882985358</v>
      </c>
      <c r="W35" s="40">
        <f t="shared" si="3"/>
        <v>1109.0402006373065</v>
      </c>
      <c r="X35" s="32">
        <f t="shared" si="27"/>
        <v>747.6564284115957</v>
      </c>
      <c r="Y35" s="32">
        <f t="shared" si="28"/>
        <v>20.453647240953785</v>
      </c>
      <c r="Z35" s="33">
        <f t="shared" si="29"/>
        <v>9.0270254212924819</v>
      </c>
      <c r="AA35" s="33">
        <f t="shared" si="30"/>
        <v>9.8055937228247458</v>
      </c>
      <c r="AB35" s="39">
        <f t="shared" si="4"/>
        <v>748.29643137383084</v>
      </c>
      <c r="AC35" s="36">
        <f t="shared" si="31"/>
        <v>1406.1634083574982</v>
      </c>
      <c r="AD35" s="36">
        <f t="shared" si="32"/>
        <v>31.066440636510286</v>
      </c>
      <c r="AE35" s="37">
        <f t="shared" si="33"/>
        <v>11.177833847663406</v>
      </c>
      <c r="AF35" s="40">
        <f t="shared" si="5"/>
        <v>447.73248033966939</v>
      </c>
      <c r="AG35" s="32">
        <f t="shared" si="34"/>
        <v>732.77014603236012</v>
      </c>
      <c r="AH35" s="32">
        <f t="shared" si="35"/>
        <v>20.019683507207297</v>
      </c>
      <c r="AI35" s="33">
        <f t="shared" si="36"/>
        <v>9.0390734446828116</v>
      </c>
      <c r="AJ35" s="33">
        <f t="shared" si="37"/>
        <v>9.8081399723928779</v>
      </c>
      <c r="AK35" s="39">
        <f t="shared" si="6"/>
        <v>763.69639142176334</v>
      </c>
      <c r="AL35" s="36">
        <f t="shared" si="38"/>
        <v>611.31616470914582</v>
      </c>
      <c r="AM35" s="36">
        <f t="shared" si="39"/>
        <v>13.041933945188013</v>
      </c>
      <c r="AN35" s="37">
        <f t="shared" si="40"/>
        <v>11.575432817940332</v>
      </c>
      <c r="AO35" s="40">
        <f t="shared" si="7"/>
        <v>1048.0410851507536</v>
      </c>
      <c r="AP35" s="32">
        <f t="shared" si="56"/>
        <v>746.88121638470329</v>
      </c>
      <c r="AQ35" s="32">
        <f t="shared" si="41"/>
        <v>20.431698960392698</v>
      </c>
      <c r="AR35" s="33">
        <f t="shared" si="42"/>
        <v>9.0273527151793438</v>
      </c>
      <c r="AS35" s="33">
        <f t="shared" si="43"/>
        <v>9.8056630824708151</v>
      </c>
      <c r="AT35" s="39">
        <f t="shared" si="8"/>
        <v>749.07841084962706</v>
      </c>
      <c r="AU35" s="36">
        <f t="shared" si="44"/>
        <v>1233.0898775671112</v>
      </c>
      <c r="AV35" s="36">
        <f t="shared" si="45"/>
        <v>28.993732757216854</v>
      </c>
      <c r="AW35" s="37">
        <f t="shared" si="46"/>
        <v>10.502772450139446</v>
      </c>
      <c r="AX35" s="40">
        <f t="shared" si="9"/>
        <v>494.91750403147074</v>
      </c>
      <c r="AY35" s="2">
        <f t="shared" si="57"/>
        <v>10.276245144985269</v>
      </c>
      <c r="AZ35" s="2">
        <f t="shared" si="47"/>
        <v>756.39561451436339</v>
      </c>
      <c r="BA35" s="2">
        <f t="shared" si="48"/>
        <v>774.9328175398</v>
      </c>
      <c r="BB35" s="44">
        <f t="shared" si="60"/>
        <v>774.9328175398</v>
      </c>
      <c r="BC35">
        <f t="shared" si="49"/>
        <v>78</v>
      </c>
      <c r="BD35" s="2">
        <f t="shared" si="50"/>
        <v>84.428191165451906</v>
      </c>
      <c r="BE35" s="2">
        <f t="shared" si="51"/>
        <v>619.94625403184</v>
      </c>
      <c r="BF35" s="2">
        <f t="shared" si="10"/>
        <v>52.674479454042462</v>
      </c>
      <c r="BG35" s="24">
        <f t="shared" si="61"/>
        <v>0.62389681369363392</v>
      </c>
    </row>
    <row r="36" spans="1:59" x14ac:dyDescent="0.25">
      <c r="A36">
        <f t="shared" si="12"/>
        <v>84</v>
      </c>
      <c r="B36">
        <v>1.4</v>
      </c>
      <c r="C36" s="2">
        <f t="shared" si="58"/>
        <v>774.9328175398</v>
      </c>
      <c r="D36" s="2">
        <f t="shared" si="13"/>
        <v>20.735674031282777</v>
      </c>
      <c r="E36" s="2">
        <f t="shared" si="14"/>
        <v>757.8298786602835</v>
      </c>
      <c r="F36" s="25">
        <f t="shared" si="15"/>
        <v>25.088970013020791</v>
      </c>
      <c r="G36">
        <f t="shared" si="16"/>
        <v>8.7017638089054763E-5</v>
      </c>
      <c r="H36">
        <f t="shared" si="17"/>
        <v>1.5171062228887895E-4</v>
      </c>
      <c r="I36" s="51">
        <f t="shared" si="59"/>
        <v>8.1570337295820147E-5</v>
      </c>
      <c r="J36" s="28">
        <f t="shared" si="52"/>
        <v>0.16533245608067812</v>
      </c>
      <c r="K36" s="24">
        <f t="shared" si="53"/>
        <v>9.390665669899068</v>
      </c>
      <c r="L36" s="33">
        <f t="shared" si="54"/>
        <v>9.8763982504390277</v>
      </c>
      <c r="M36" s="39">
        <f t="shared" si="55"/>
        <v>747.19652278660271</v>
      </c>
      <c r="N36" s="40">
        <f t="shared" si="18"/>
        <v>382.58519484671643</v>
      </c>
      <c r="O36" s="32">
        <f t="shared" si="19"/>
        <v>731.80100788727282</v>
      </c>
      <c r="P36" s="32">
        <f t="shared" si="20"/>
        <v>19.99045946280561</v>
      </c>
      <c r="Q36" s="33">
        <f t="shared" si="21"/>
        <v>9.4061746678325608</v>
      </c>
      <c r="R36" s="33">
        <f t="shared" si="22"/>
        <v>9.8791512377962682</v>
      </c>
      <c r="S36" s="39">
        <f t="shared" si="23"/>
        <v>773.98866948725595</v>
      </c>
      <c r="T36" s="36">
        <f t="shared" si="24"/>
        <v>608.08775852619965</v>
      </c>
      <c r="U36" s="36">
        <f t="shared" si="25"/>
        <v>11.796346644132836</v>
      </c>
      <c r="V36" s="37">
        <f t="shared" si="26"/>
        <v>13.24529228871911</v>
      </c>
      <c r="W36" s="40">
        <f t="shared" si="3"/>
        <v>1132.5208406403256</v>
      </c>
      <c r="X36" s="32">
        <f t="shared" si="27"/>
        <v>756.88829297611596</v>
      </c>
      <c r="Y36" s="32">
        <f t="shared" si="28"/>
        <v>20.710023491904966</v>
      </c>
      <c r="Z36" s="33">
        <f t="shared" si="29"/>
        <v>9.3906144113729848</v>
      </c>
      <c r="AA36" s="33">
        <f t="shared" si="30"/>
        <v>9.8763891169299711</v>
      </c>
      <c r="AB36" s="39">
        <f t="shared" si="4"/>
        <v>748.12535984245335</v>
      </c>
      <c r="AC36" s="36">
        <f t="shared" si="31"/>
        <v>1480.5120217685067</v>
      </c>
      <c r="AD36" s="36">
        <f t="shared" si="32"/>
        <v>31.886513345316303</v>
      </c>
      <c r="AE36" s="37">
        <f t="shared" si="33"/>
        <v>11.930199786560376</v>
      </c>
      <c r="AF36" s="40">
        <f t="shared" si="5"/>
        <v>441.46228833929842</v>
      </c>
      <c r="AG36" s="32">
        <f t="shared" si="34"/>
        <v>732.61907882303854</v>
      </c>
      <c r="AH36" s="32">
        <f t="shared" si="35"/>
        <v>20.015136438894174</v>
      </c>
      <c r="AI36" s="33">
        <f t="shared" si="36"/>
        <v>9.4050797248818299</v>
      </c>
      <c r="AJ36" s="33">
        <f t="shared" si="37"/>
        <v>9.8789575601054196</v>
      </c>
      <c r="AK36" s="39">
        <f t="shared" si="6"/>
        <v>773.10924679502909</v>
      </c>
      <c r="AL36" s="36">
        <f t="shared" si="38"/>
        <v>610.8412558730156</v>
      </c>
      <c r="AM36" s="36">
        <f t="shared" si="39"/>
        <v>12.917915934180535</v>
      </c>
      <c r="AN36" s="37">
        <f t="shared" si="40"/>
        <v>12.150068301912508</v>
      </c>
      <c r="AO36" s="40">
        <f t="shared" si="7"/>
        <v>1079.7984217690396</v>
      </c>
      <c r="AP36" s="32">
        <f t="shared" si="56"/>
        <v>756.0148503340622</v>
      </c>
      <c r="AQ36" s="32">
        <f t="shared" si="41"/>
        <v>20.686149367302932</v>
      </c>
      <c r="AR36" s="33">
        <f t="shared" si="42"/>
        <v>9.3906030324619163</v>
      </c>
      <c r="AS36" s="33">
        <f t="shared" si="43"/>
        <v>9.8763870893457693</v>
      </c>
      <c r="AT36" s="39">
        <f t="shared" si="8"/>
        <v>748.98953379648322</v>
      </c>
      <c r="AU36" s="36">
        <f t="shared" si="44"/>
        <v>1319.6618154585597</v>
      </c>
      <c r="AV36" s="36">
        <f t="shared" si="45"/>
        <v>30.06242437630695</v>
      </c>
      <c r="AW36" s="37">
        <f t="shared" si="46"/>
        <v>11.279282165541284</v>
      </c>
      <c r="AX36" s="40">
        <f t="shared" si="9"/>
        <v>481.57038364868424</v>
      </c>
      <c r="AY36" s="2">
        <f t="shared" si="57"/>
        <v>10.774664297410322</v>
      </c>
      <c r="AZ36" s="2">
        <f t="shared" si="47"/>
        <v>761.05320248030534</v>
      </c>
      <c r="BA36" s="2">
        <f t="shared" si="48"/>
        <v>783.83798359933689</v>
      </c>
      <c r="BB36" s="44">
        <f t="shared" si="60"/>
        <v>783.83798359933689</v>
      </c>
      <c r="BC36">
        <f t="shared" si="49"/>
        <v>84</v>
      </c>
      <c r="BD36" s="2">
        <f t="shared" si="50"/>
        <v>81.570337295820153</v>
      </c>
      <c r="BE36" s="2">
        <f t="shared" si="51"/>
        <v>627.07038687946954</v>
      </c>
      <c r="BF36" s="2">
        <f t="shared" si="10"/>
        <v>49.700456740273083</v>
      </c>
      <c r="BG36" s="24">
        <f t="shared" si="61"/>
        <v>0.60929571199431398</v>
      </c>
    </row>
    <row r="37" spans="1:59" x14ac:dyDescent="0.25">
      <c r="A37" s="20">
        <f t="shared" si="12"/>
        <v>90</v>
      </c>
      <c r="B37" s="20">
        <v>1.5</v>
      </c>
      <c r="C37" s="27">
        <f>BB36</f>
        <v>783.83798359933689</v>
      </c>
      <c r="D37" s="2">
        <f t="shared" si="13"/>
        <v>20.978591225715924</v>
      </c>
      <c r="E37" s="2">
        <f t="shared" si="14"/>
        <v>766.90901459306292</v>
      </c>
      <c r="F37" s="25">
        <f t="shared" si="15"/>
        <v>26.888093571992723</v>
      </c>
      <c r="G37">
        <f t="shared" si="16"/>
        <v>8.4055996642463173E-5</v>
      </c>
      <c r="H37">
        <f t="shared" si="17"/>
        <v>1.4654715799904019E-4</v>
      </c>
      <c r="I37" s="51">
        <f t="shared" si="59"/>
        <v>7.8988605150900768E-5</v>
      </c>
      <c r="J37" s="28">
        <f t="shared" si="52"/>
        <v>0.16081525586443637</v>
      </c>
      <c r="K37" s="24">
        <f t="shared" si="53"/>
        <v>9.7455363100403147</v>
      </c>
      <c r="L37" s="33">
        <f t="shared" si="54"/>
        <v>9.9343833379749285</v>
      </c>
      <c r="M37" s="39">
        <f t="shared" si="55"/>
        <v>746.00542510063076</v>
      </c>
      <c r="N37" s="40">
        <f t="shared" si="18"/>
        <v>386.85451126999146</v>
      </c>
      <c r="O37" s="32">
        <f t="shared" si="19"/>
        <v>730.75726089605496</v>
      </c>
      <c r="P37" s="32">
        <f t="shared" si="20"/>
        <v>19.95884313041941</v>
      </c>
      <c r="Q37" s="33">
        <f t="shared" si="21"/>
        <v>9.760588338288132</v>
      </c>
      <c r="R37" s="33">
        <f t="shared" si="22"/>
        <v>9.9366216760036217</v>
      </c>
      <c r="S37" s="39">
        <f t="shared" si="23"/>
        <v>783.08792989346932</v>
      </c>
      <c r="T37" s="36">
        <f t="shared" si="24"/>
        <v>608.2080044408923</v>
      </c>
      <c r="U37" s="36">
        <f t="shared" si="25"/>
        <v>11.87506312503869</v>
      </c>
      <c r="V37" s="37">
        <f t="shared" si="26"/>
        <v>13.653827962604465</v>
      </c>
      <c r="W37" s="40">
        <f t="shared" si="3"/>
        <v>1154.7652701031097</v>
      </c>
      <c r="X37" s="32">
        <f t="shared" si="27"/>
        <v>766.13039488199729</v>
      </c>
      <c r="Y37" s="32">
        <f t="shared" si="28"/>
        <v>20.958062578136069</v>
      </c>
      <c r="Z37" s="33">
        <f t="shared" si="29"/>
        <v>9.7451781253945864</v>
      </c>
      <c r="AA37" s="33">
        <f t="shared" si="30"/>
        <v>9.9343298646078679</v>
      </c>
      <c r="AB37" s="39">
        <f t="shared" si="4"/>
        <v>746.75957219692407</v>
      </c>
      <c r="AC37" s="36">
        <f t="shared" si="31"/>
        <v>1555.0938851465039</v>
      </c>
      <c r="AD37" s="36">
        <f t="shared" si="32"/>
        <v>32.674802637619187</v>
      </c>
      <c r="AE37" s="37">
        <f t="shared" si="33"/>
        <v>12.687669655481223</v>
      </c>
      <c r="AF37" s="40">
        <f t="shared" si="5"/>
        <v>435.36443615503282</v>
      </c>
      <c r="AG37" s="32">
        <f t="shared" si="34"/>
        <v>731.41742034238575</v>
      </c>
      <c r="AH37" s="32">
        <f t="shared" si="35"/>
        <v>19.978857416052406</v>
      </c>
      <c r="AI37" s="33">
        <f t="shared" si="36"/>
        <v>9.7596192348841821</v>
      </c>
      <c r="AJ37" s="33">
        <f t="shared" si="37"/>
        <v>9.9364780792685252</v>
      </c>
      <c r="AK37" s="39">
        <f t="shared" si="6"/>
        <v>782.36982751528785</v>
      </c>
      <c r="AL37" s="36">
        <f t="shared" si="38"/>
        <v>610.41974879483132</v>
      </c>
      <c r="AM37" s="36">
        <f t="shared" si="39"/>
        <v>12.798151316450626</v>
      </c>
      <c r="AN37" s="37">
        <f t="shared" si="40"/>
        <v>12.715093470189696</v>
      </c>
      <c r="AO37" s="40">
        <f t="shared" si="7"/>
        <v>1110.3242748186728</v>
      </c>
      <c r="AP37" s="32">
        <f t="shared" si="56"/>
        <v>765.38735483858147</v>
      </c>
      <c r="AQ37" s="32">
        <f t="shared" si="41"/>
        <v>20.938420232670701</v>
      </c>
      <c r="AR37" s="33">
        <f t="shared" si="42"/>
        <v>9.7448597479528924</v>
      </c>
      <c r="AS37" s="33">
        <f t="shared" si="43"/>
        <v>9.9342823258863362</v>
      </c>
      <c r="AT37" s="39">
        <f t="shared" si="8"/>
        <v>747.48095140462294</v>
      </c>
      <c r="AU37" s="36">
        <f t="shared" si="44"/>
        <v>1410.1152170345117</v>
      </c>
      <c r="AV37" s="36">
        <f t="shared" si="45"/>
        <v>31.110968325537421</v>
      </c>
      <c r="AW37" s="37">
        <f t="shared" si="46"/>
        <v>12.083125672566464</v>
      </c>
      <c r="AX37" s="40">
        <f t="shared" si="9"/>
        <v>468.54755838414746</v>
      </c>
      <c r="AY37" s="2">
        <f t="shared" si="57"/>
        <v>11.268745275920205</v>
      </c>
      <c r="AZ37" s="2">
        <f t="shared" si="47"/>
        <v>764.92457025257602</v>
      </c>
      <c r="BA37" s="2">
        <f t="shared" si="48"/>
        <v>792.25038486524068</v>
      </c>
      <c r="BB37" s="44">
        <f t="shared" si="60"/>
        <v>792.25038486524068</v>
      </c>
      <c r="BC37">
        <f t="shared" si="49"/>
        <v>90</v>
      </c>
      <c r="BD37" s="2">
        <f t="shared" si="50"/>
        <v>78.988605150900767</v>
      </c>
      <c r="BE37" s="2">
        <f t="shared" si="51"/>
        <v>633.80030789219256</v>
      </c>
      <c r="BF37" s="2">
        <f t="shared" si="10"/>
        <v>47.060513255781501</v>
      </c>
      <c r="BG37" s="24">
        <f t="shared" si="61"/>
        <v>0.59578863515663483</v>
      </c>
    </row>
    <row r="38" spans="1:59" x14ac:dyDescent="0.25">
      <c r="A38">
        <f t="shared" si="12"/>
        <v>96</v>
      </c>
      <c r="B38">
        <v>1.6</v>
      </c>
      <c r="C38" s="2">
        <f t="shared" si="58"/>
        <v>792.25038486524068</v>
      </c>
      <c r="D38" s="2">
        <f t="shared" si="13"/>
        <v>21.209698309350834</v>
      </c>
      <c r="E38" s="2">
        <f t="shared" si="14"/>
        <v>775.81940755547953</v>
      </c>
      <c r="F38" s="25">
        <f t="shared" si="15"/>
        <v>28.697717815680541</v>
      </c>
      <c r="G38">
        <f t="shared" si="16"/>
        <v>8.1362639072363847E-5</v>
      </c>
      <c r="H38">
        <f t="shared" si="17"/>
        <v>1.4185143237398871E-4</v>
      </c>
      <c r="I38" s="51">
        <f t="shared" si="59"/>
        <v>7.6640742338375027E-5</v>
      </c>
      <c r="J38" s="28">
        <f t="shared" si="52"/>
        <v>0.15667954657248953</v>
      </c>
      <c r="K38" s="24">
        <f t="shared" si="53"/>
        <v>10.092258174256157</v>
      </c>
      <c r="L38" s="33">
        <f t="shared" si="54"/>
        <v>9.9818014169108515</v>
      </c>
      <c r="M38" s="39">
        <f t="shared" si="55"/>
        <v>744.01724606396476</v>
      </c>
      <c r="N38" s="40">
        <f t="shared" si="18"/>
        <v>390.76168615566326</v>
      </c>
      <c r="O38" s="32">
        <f t="shared" si="19"/>
        <v>729.02828599889131</v>
      </c>
      <c r="P38" s="32">
        <f t="shared" si="20"/>
        <v>19.906139975682926</v>
      </c>
      <c r="Q38" s="33">
        <f t="shared" si="21"/>
        <v>10.104609368485105</v>
      </c>
      <c r="R38" s="33">
        <f t="shared" si="22"/>
        <v>9.98333888835203</v>
      </c>
      <c r="S38" s="39">
        <f t="shared" si="23"/>
        <v>791.89235634718739</v>
      </c>
      <c r="T38" s="36">
        <f t="shared" si="24"/>
        <v>608.32616334322199</v>
      </c>
      <c r="U38" s="36">
        <f t="shared" si="25"/>
        <v>11.947460346161446</v>
      </c>
      <c r="V38" s="37">
        <f t="shared" si="26"/>
        <v>14.048278262488939</v>
      </c>
      <c r="W38" s="40">
        <f t="shared" si="3"/>
        <v>1175.9354674814097</v>
      </c>
      <c r="X38" s="32">
        <f t="shared" si="27"/>
        <v>775.43349670356633</v>
      </c>
      <c r="Y38" s="32">
        <f t="shared" si="28"/>
        <v>21.199830184589711</v>
      </c>
      <c r="Z38" s="33">
        <f t="shared" si="29"/>
        <v>10.091933468060097</v>
      </c>
      <c r="AA38" s="33">
        <f t="shared" si="30"/>
        <v>9.9817608643546105</v>
      </c>
      <c r="AB38" s="39">
        <f t="shared" si="4"/>
        <v>744.38449777016001</v>
      </c>
      <c r="AC38" s="36">
        <f t="shared" si="31"/>
        <v>1629.926978882015</v>
      </c>
      <c r="AD38" s="36">
        <f t="shared" si="32"/>
        <v>33.435317595891526</v>
      </c>
      <c r="AE38" s="37">
        <f t="shared" si="33"/>
        <v>13.450080973155298</v>
      </c>
      <c r="AF38" s="40">
        <f t="shared" si="5"/>
        <v>429.44023845908646</v>
      </c>
      <c r="AG38" s="32">
        <f t="shared" si="34"/>
        <v>729.34641348208788</v>
      </c>
      <c r="AH38" s="32">
        <f t="shared" si="35"/>
        <v>19.915868509932949</v>
      </c>
      <c r="AI38" s="33">
        <f t="shared" si="36"/>
        <v>10.104080667312688</v>
      </c>
      <c r="AJ38" s="33">
        <f t="shared" si="37"/>
        <v>9.9832732778341828</v>
      </c>
      <c r="AK38" s="39">
        <f t="shared" si="6"/>
        <v>791.54174542706096</v>
      </c>
      <c r="AL38" s="36">
        <f t="shared" si="38"/>
        <v>610.04612057853615</v>
      </c>
      <c r="AM38" s="36">
        <f t="shared" si="39"/>
        <v>12.682595027835557</v>
      </c>
      <c r="AN38" s="37">
        <f t="shared" si="40"/>
        <v>13.271400275811743</v>
      </c>
      <c r="AO38" s="40">
        <f t="shared" si="7"/>
        <v>1139.7356648341595</v>
      </c>
      <c r="AP38" s="32">
        <f t="shared" si="56"/>
        <v>775.05616061845114</v>
      </c>
      <c r="AQ38" s="32">
        <f t="shared" si="41"/>
        <v>21.190169289335387</v>
      </c>
      <c r="AR38" s="33">
        <f t="shared" si="42"/>
        <v>10.09162141621244</v>
      </c>
      <c r="AS38" s="33">
        <f t="shared" si="43"/>
        <v>9.9817218857527568</v>
      </c>
      <c r="AT38" s="39">
        <f t="shared" si="8"/>
        <v>744.74399313283834</v>
      </c>
      <c r="AU38" s="36">
        <f t="shared" si="44"/>
        <v>1504.2542614431409</v>
      </c>
      <c r="AV38" s="36">
        <f t="shared" si="45"/>
        <v>32.140974948455039</v>
      </c>
      <c r="AW38" s="37">
        <f t="shared" si="46"/>
        <v>12.912918429238529</v>
      </c>
      <c r="AX38" s="40">
        <f t="shared" si="9"/>
        <v>455.93127864632362</v>
      </c>
      <c r="AY38" s="2">
        <f t="shared" si="57"/>
        <v>11.759365357595604</v>
      </c>
      <c r="AZ38" s="2">
        <f t="shared" si="47"/>
        <v>768.14064816931159</v>
      </c>
      <c r="BA38" s="2">
        <f t="shared" si="48"/>
        <v>800.26066235524479</v>
      </c>
      <c r="BB38" s="44">
        <f t="shared" si="60"/>
        <v>800.26066235524479</v>
      </c>
      <c r="BC38">
        <f t="shared" si="49"/>
        <v>96</v>
      </c>
      <c r="BD38" s="2">
        <f t="shared" si="50"/>
        <v>76.64074233837502</v>
      </c>
      <c r="BE38" s="2">
        <f t="shared" si="51"/>
        <v>640.20852988419585</v>
      </c>
      <c r="BF38" s="2">
        <f t="shared" si="10"/>
        <v>44.698994761403888</v>
      </c>
      <c r="BG38" s="24">
        <f t="shared" si="61"/>
        <v>0.58322758101760341</v>
      </c>
    </row>
    <row r="39" spans="1:59" x14ac:dyDescent="0.25">
      <c r="A39">
        <f t="shared" si="12"/>
        <v>102</v>
      </c>
      <c r="B39">
        <v>1.7</v>
      </c>
      <c r="C39" s="2">
        <f t="shared" si="58"/>
        <v>800.26066235524479</v>
      </c>
      <c r="D39" s="2">
        <f t="shared" si="13"/>
        <v>21.431231534716964</v>
      </c>
      <c r="E39" s="2">
        <f t="shared" si="14"/>
        <v>784.61085198995988</v>
      </c>
      <c r="F39" s="25">
        <f t="shared" si="15"/>
        <v>30.518088876042171</v>
      </c>
      <c r="G39">
        <f t="shared" si="16"/>
        <v>7.8898735083285707E-5</v>
      </c>
      <c r="H39">
        <f t="shared" si="17"/>
        <v>1.3755574685951239E-4</v>
      </c>
      <c r="I39" s="51">
        <f t="shared" si="59"/>
        <v>7.4492899581136867E-5</v>
      </c>
      <c r="J39" s="28">
        <f t="shared" si="52"/>
        <v>0.15287213009275127</v>
      </c>
      <c r="K39" s="24">
        <f t="shared" si="53"/>
        <v>10.431661858617643</v>
      </c>
      <c r="L39" s="33">
        <f t="shared" si="54"/>
        <v>10.020654928777969</v>
      </c>
      <c r="M39" s="39">
        <f t="shared" si="55"/>
        <v>741.37399325814749</v>
      </c>
      <c r="N39" s="40">
        <f t="shared" si="18"/>
        <v>394.33171979927369</v>
      </c>
      <c r="O39" s="32">
        <f t="shared" si="19"/>
        <v>726.755174116283</v>
      </c>
      <c r="P39" s="32">
        <f t="shared" si="20"/>
        <v>19.836209070045765</v>
      </c>
      <c r="Q39" s="33">
        <f t="shared" si="21"/>
        <v>10.4394056623855</v>
      </c>
      <c r="R39" s="33">
        <f t="shared" si="22"/>
        <v>10.021463923055549</v>
      </c>
      <c r="S39" s="39">
        <f t="shared" si="23"/>
        <v>800.45806704722418</v>
      </c>
      <c r="T39" s="36">
        <f t="shared" si="24"/>
        <v>608.44144153301318</v>
      </c>
      <c r="U39" s="36">
        <f t="shared" si="25"/>
        <v>12.013909547115221</v>
      </c>
      <c r="V39" s="37">
        <f t="shared" si="26"/>
        <v>14.430479010990744</v>
      </c>
      <c r="W39" s="40">
        <f t="shared" si="3"/>
        <v>1196.1643527713013</v>
      </c>
      <c r="X39" s="32">
        <f t="shared" si="27"/>
        <v>784.83133466096604</v>
      </c>
      <c r="Y39" s="32">
        <f t="shared" si="28"/>
        <v>21.436709129934698</v>
      </c>
      <c r="Z39" s="33">
        <f t="shared" si="29"/>
        <v>10.431926959192596</v>
      </c>
      <c r="AA39" s="33">
        <f t="shared" si="30"/>
        <v>10.020682677400448</v>
      </c>
      <c r="AB39" s="39">
        <f t="shared" si="4"/>
        <v>741.16777145186097</v>
      </c>
      <c r="AC39" s="36">
        <f t="shared" si="31"/>
        <v>1705.0345454033277</v>
      </c>
      <c r="AD39" s="36">
        <f t="shared" si="32"/>
        <v>34.171396523230989</v>
      </c>
      <c r="AE39" s="37">
        <f t="shared" si="33"/>
        <v>14.217288401041021</v>
      </c>
      <c r="AF39" s="40">
        <f t="shared" si="5"/>
        <v>423.68635019356168</v>
      </c>
      <c r="AG39" s="32">
        <f t="shared" si="34"/>
        <v>726.57905077483656</v>
      </c>
      <c r="AH39" s="32">
        <f t="shared" si="35"/>
        <v>19.830759768573159</v>
      </c>
      <c r="AI39" s="33">
        <f t="shared" si="36"/>
        <v>10.439743708148361</v>
      </c>
      <c r="AJ39" s="33">
        <f t="shared" si="37"/>
        <v>10.021499164913861</v>
      </c>
      <c r="AK39" s="39">
        <f t="shared" si="6"/>
        <v>800.65491432453564</v>
      </c>
      <c r="AL39" s="36">
        <f t="shared" si="38"/>
        <v>609.71503789462611</v>
      </c>
      <c r="AM39" s="36">
        <f t="shared" si="39"/>
        <v>12.5711133403126</v>
      </c>
      <c r="AN39" s="37">
        <f t="shared" si="40"/>
        <v>13.819727614414292</v>
      </c>
      <c r="AO39" s="40">
        <f t="shared" si="7"/>
        <v>1168.1324908061385</v>
      </c>
      <c r="AP39" s="32">
        <f t="shared" si="56"/>
        <v>785.05137917398497</v>
      </c>
      <c r="AQ39" s="32">
        <f t="shared" si="41"/>
        <v>21.442172127185671</v>
      </c>
      <c r="AR39" s="33">
        <f t="shared" si="42"/>
        <v>10.432193204141823</v>
      </c>
      <c r="AS39" s="33">
        <f t="shared" si="43"/>
        <v>10.020710541977216</v>
      </c>
      <c r="AT39" s="39">
        <f t="shared" si="8"/>
        <v>740.96208760518402</v>
      </c>
      <c r="AU39" s="36">
        <f t="shared" si="44"/>
        <v>1601.9011603896183</v>
      </c>
      <c r="AV39" s="36">
        <f t="shared" si="45"/>
        <v>33.153836439778161</v>
      </c>
      <c r="AW39" s="37">
        <f t="shared" si="46"/>
        <v>13.767283133261701</v>
      </c>
      <c r="AX39" s="40">
        <f t="shared" si="9"/>
        <v>443.76972941905944</v>
      </c>
      <c r="AY39" s="2">
        <f t="shared" si="57"/>
        <v>12.247255961697004</v>
      </c>
      <c r="AZ39" s="2">
        <f t="shared" si="47"/>
        <v>770.8107101072012</v>
      </c>
      <c r="BA39" s="2">
        <f t="shared" si="48"/>
        <v>807.9382307975153</v>
      </c>
      <c r="BB39" s="44">
        <f t="shared" si="60"/>
        <v>807.9382307975153</v>
      </c>
      <c r="BC39">
        <f t="shared" si="49"/>
        <v>102</v>
      </c>
      <c r="BD39" s="2">
        <f t="shared" si="50"/>
        <v>74.492899581136868</v>
      </c>
      <c r="BE39" s="2">
        <f t="shared" si="51"/>
        <v>646.35058463801226</v>
      </c>
      <c r="BF39" s="2">
        <f t="shared" si="10"/>
        <v>42.572139602463125</v>
      </c>
      <c r="BG39" s="24">
        <f t="shared" si="61"/>
        <v>0.57149258307624351</v>
      </c>
    </row>
    <row r="40" spans="1:59" x14ac:dyDescent="0.25">
      <c r="A40">
        <f t="shared" si="12"/>
        <v>108</v>
      </c>
      <c r="B40">
        <v>1.8</v>
      </c>
      <c r="C40" s="2">
        <f t="shared" si="58"/>
        <v>807.9382307975153</v>
      </c>
      <c r="D40" s="2">
        <f t="shared" si="13"/>
        <v>21.644912296014859</v>
      </c>
      <c r="E40" s="2">
        <f t="shared" si="14"/>
        <v>793.32316919796108</v>
      </c>
      <c r="F40" s="25">
        <f t="shared" si="15"/>
        <v>32.349535015287898</v>
      </c>
      <c r="G40">
        <f t="shared" si="16"/>
        <v>7.6632798583298862E-5</v>
      </c>
      <c r="H40">
        <f t="shared" si="17"/>
        <v>1.3360520712952942E-4</v>
      </c>
      <c r="I40" s="51">
        <f t="shared" si="59"/>
        <v>7.2517629716145382E-5</v>
      </c>
      <c r="J40" s="28">
        <f t="shared" si="52"/>
        <v>0.14934958953317037</v>
      </c>
      <c r="K40" s="24">
        <f t="shared" si="53"/>
        <v>10.76447693211035</v>
      </c>
      <c r="L40" s="33">
        <f t="shared" si="54"/>
        <v>10.052688998813608</v>
      </c>
      <c r="M40" s="39">
        <f t="shared" si="55"/>
        <v>738.20104341531999</v>
      </c>
      <c r="N40" s="40">
        <f t="shared" si="18"/>
        <v>397.58738435892087</v>
      </c>
      <c r="O40" s="32">
        <f t="shared" si="19"/>
        <v>724.06478401200775</v>
      </c>
      <c r="P40" s="32">
        <f t="shared" si="20"/>
        <v>19.752470987932476</v>
      </c>
      <c r="Q40" s="33">
        <f t="shared" si="21"/>
        <v>10.766005975390495</v>
      </c>
      <c r="R40" s="33">
        <f t="shared" si="22"/>
        <v>10.052824127831968</v>
      </c>
      <c r="S40" s="39">
        <f t="shared" si="23"/>
        <v>808.82246493570722</v>
      </c>
      <c r="T40" s="36">
        <f t="shared" si="24"/>
        <v>608.5530660006109</v>
      </c>
      <c r="U40" s="36">
        <f t="shared" si="25"/>
        <v>12.074756270259929</v>
      </c>
      <c r="V40" s="37">
        <f t="shared" si="26"/>
        <v>14.801942242658994</v>
      </c>
      <c r="W40" s="40">
        <f t="shared" si="3"/>
        <v>1215.5621300180233</v>
      </c>
      <c r="X40" s="32">
        <f t="shared" si="27"/>
        <v>794.34476955782907</v>
      </c>
      <c r="Y40" s="32">
        <f t="shared" si="28"/>
        <v>21.669606939256987</v>
      </c>
      <c r="Z40" s="33">
        <f t="shared" si="29"/>
        <v>10.766055891565369</v>
      </c>
      <c r="AA40" s="33">
        <f t="shared" si="30"/>
        <v>10.052828537450036</v>
      </c>
      <c r="AB40" s="39">
        <f t="shared" si="4"/>
        <v>737.26188263510949</v>
      </c>
      <c r="AC40" s="36">
        <f t="shared" si="31"/>
        <v>1780.4422139491107</v>
      </c>
      <c r="AD40" s="36">
        <f t="shared" si="32"/>
        <v>34.885842586437271</v>
      </c>
      <c r="AE40" s="37">
        <f t="shared" si="33"/>
        <v>14.989159799512038</v>
      </c>
      <c r="AF40" s="40">
        <f t="shared" si="5"/>
        <v>418.0969753372969</v>
      </c>
      <c r="AG40" s="32">
        <f t="shared" si="34"/>
        <v>723.27641462822589</v>
      </c>
      <c r="AH40" s="32">
        <f t="shared" si="35"/>
        <v>19.727728623647437</v>
      </c>
      <c r="AI40" s="33">
        <f t="shared" si="36"/>
        <v>10.767771773787228</v>
      </c>
      <c r="AJ40" s="33">
        <f t="shared" si="37"/>
        <v>10.052980053291346</v>
      </c>
      <c r="AK40" s="39">
        <f t="shared" si="6"/>
        <v>809.71663829483225</v>
      </c>
      <c r="AL40" s="36">
        <f t="shared" si="38"/>
        <v>609.42155863327253</v>
      </c>
      <c r="AM40" s="36">
        <f t="shared" si="39"/>
        <v>12.463529202617654</v>
      </c>
      <c r="AN40" s="37">
        <f t="shared" si="40"/>
        <v>14.360693119644171</v>
      </c>
      <c r="AO40" s="40">
        <f t="shared" si="7"/>
        <v>1195.6006732741832</v>
      </c>
      <c r="AP40" s="32">
        <f t="shared" si="56"/>
        <v>795.38170034586324</v>
      </c>
      <c r="AQ40" s="32">
        <f t="shared" si="41"/>
        <v>21.694596972567879</v>
      </c>
      <c r="AR40" s="33">
        <f t="shared" si="42"/>
        <v>10.76769218582545</v>
      </c>
      <c r="AS40" s="33">
        <f t="shared" si="43"/>
        <v>10.052973028349935</v>
      </c>
      <c r="AT40" s="39">
        <f t="shared" si="8"/>
        <v>736.31130501151949</v>
      </c>
      <c r="AU40" s="36">
        <f t="shared" si="44"/>
        <v>1702.8932176821497</v>
      </c>
      <c r="AV40" s="36">
        <f>((1.12*10^-5)*(AO40^2))+(0.00982*AO40)+6.4</f>
        <v>34.150761474809698</v>
      </c>
      <c r="AW40" s="37">
        <f t="shared" si="46"/>
        <v>14.644874275592572</v>
      </c>
      <c r="AX40" s="40">
        <f t="shared" si="9"/>
        <v>432.08746924878119</v>
      </c>
      <c r="AY40" s="2">
        <f t="shared" si="57"/>
        <v>12.733024407997041</v>
      </c>
      <c r="AZ40" s="2">
        <f t="shared" si="47"/>
        <v>773.02807271929214</v>
      </c>
      <c r="BA40" s="2">
        <f t="shared" si="48"/>
        <v>815.33681196957116</v>
      </c>
      <c r="BB40" s="44">
        <f t="shared" si="60"/>
        <v>815.33681196957116</v>
      </c>
      <c r="BC40">
        <f t="shared" si="49"/>
        <v>108</v>
      </c>
      <c r="BD40" s="2">
        <f t="shared" si="50"/>
        <v>72.517629716145379</v>
      </c>
      <c r="BE40" s="2">
        <f t="shared" si="51"/>
        <v>652.26944957565695</v>
      </c>
      <c r="BF40" s="2">
        <f t="shared" si="10"/>
        <v>40.645063870046386</v>
      </c>
      <c r="BG40" s="24">
        <f t="shared" si="61"/>
        <v>0.5604852782577523</v>
      </c>
    </row>
    <row r="41" spans="1:59" x14ac:dyDescent="0.25">
      <c r="A41">
        <f t="shared" si="12"/>
        <v>114</v>
      </c>
      <c r="B41">
        <v>1.9</v>
      </c>
      <c r="C41" s="2">
        <f t="shared" si="58"/>
        <v>815.33681196957116</v>
      </c>
      <c r="D41" s="2">
        <f t="shared" si="13"/>
        <v>21.852077603411473</v>
      </c>
      <c r="E41" s="2">
        <f t="shared" si="14"/>
        <v>801.98818857890365</v>
      </c>
      <c r="F41" s="25">
        <f t="shared" si="15"/>
        <v>34.192438050466095</v>
      </c>
      <c r="G41">
        <f t="shared" si="16"/>
        <v>7.4539019033214484E-5</v>
      </c>
      <c r="H41">
        <f t="shared" si="17"/>
        <v>1.2995481388219783E-4</v>
      </c>
      <c r="I41" s="51">
        <f t="shared" si="59"/>
        <v>7.0692433092479584E-5</v>
      </c>
      <c r="J41" s="28">
        <f t="shared" si="52"/>
        <v>0.14607611934513354</v>
      </c>
      <c r="K41" s="24">
        <f t="shared" si="53"/>
        <v>11.091346843378609</v>
      </c>
      <c r="L41" s="33">
        <f t="shared" si="54"/>
        <v>10.079440383591017</v>
      </c>
      <c r="M41" s="39">
        <f t="shared" si="55"/>
        <v>734.61003183890011</v>
      </c>
      <c r="N41" s="40">
        <f t="shared" si="18"/>
        <v>400.54959748657137</v>
      </c>
      <c r="O41" s="32">
        <f t="shared" si="19"/>
        <v>721.06985867877506</v>
      </c>
      <c r="P41" s="32">
        <f t="shared" si="20"/>
        <v>19.657971780095519</v>
      </c>
      <c r="Q41" s="33">
        <f t="shared" si="21"/>
        <v>11.085305933375277</v>
      </c>
      <c r="R41" s="33">
        <f t="shared" si="22"/>
        <v>10.078981650526547</v>
      </c>
      <c r="S41" s="39">
        <f t="shared" si="23"/>
        <v>817.01065225217019</v>
      </c>
      <c r="T41" s="36">
        <f t="shared" si="24"/>
        <v>608.66032273386486</v>
      </c>
      <c r="U41" s="36">
        <f t="shared" si="25"/>
        <v>12.13032482384066</v>
      </c>
      <c r="V41" s="37">
        <f t="shared" si="26"/>
        <v>15.163924379491929</v>
      </c>
      <c r="W41" s="40">
        <f t="shared" si="3"/>
        <v>1234.2210161975297</v>
      </c>
      <c r="X41" s="32">
        <f t="shared" si="27"/>
        <v>803.98564250079244</v>
      </c>
      <c r="Y41" s="32">
        <f t="shared" si="28"/>
        <v>21.899116351123698</v>
      </c>
      <c r="Z41" s="33">
        <f t="shared" si="29"/>
        <v>11.095087989140884</v>
      </c>
      <c r="AA41" s="33">
        <f t="shared" si="30"/>
        <v>10.079723868137126</v>
      </c>
      <c r="AB41" s="39">
        <f t="shared" si="4"/>
        <v>732.80554704179656</v>
      </c>
      <c r="AC41" s="36">
        <f t="shared" si="31"/>
        <v>1856.1761613921512</v>
      </c>
      <c r="AD41" s="36">
        <f t="shared" si="32"/>
        <v>35.581027367484765</v>
      </c>
      <c r="AE41" s="37">
        <f t="shared" si="33"/>
        <v>15.765572845785686</v>
      </c>
      <c r="AF41" s="40">
        <f t="shared" si="5"/>
        <v>412.66516653640798</v>
      </c>
      <c r="AG41" s="32">
        <f t="shared" si="34"/>
        <v>719.5847847113605</v>
      </c>
      <c r="AH41" s="32">
        <f t="shared" si="35"/>
        <v>19.610594933432985</v>
      </c>
      <c r="AI41" s="33">
        <f t="shared" si="36"/>
        <v>11.089200889700418</v>
      </c>
      <c r="AJ41" s="33">
        <f t="shared" si="37"/>
        <v>10.079277564207406</v>
      </c>
      <c r="AK41" s="39">
        <f t="shared" si="6"/>
        <v>818.72082954679104</v>
      </c>
      <c r="AL41" s="36">
        <f t="shared" si="38"/>
        <v>609.16120299539864</v>
      </c>
      <c r="AM41" s="36">
        <f t="shared" si="39"/>
        <v>12.359648379719765</v>
      </c>
      <c r="AN41" s="37">
        <f t="shared" si="40"/>
        <v>14.89481688889876</v>
      </c>
      <c r="AO41" s="40">
        <f t="shared" si="7"/>
        <v>1222.2146155553057</v>
      </c>
      <c r="AP41" s="32">
        <f t="shared" si="56"/>
        <v>806.04070305115033</v>
      </c>
      <c r="AQ41" s="32">
        <f t="shared" si="41"/>
        <v>21.947241069567887</v>
      </c>
      <c r="AR41" s="33">
        <f t="shared" si="42"/>
        <v>11.099057152022787</v>
      </c>
      <c r="AS41" s="33">
        <f t="shared" si="43"/>
        <v>10.080024123060738</v>
      </c>
      <c r="AT41" s="39">
        <f t="shared" si="8"/>
        <v>730.95897811834811</v>
      </c>
      <c r="AU41" s="36">
        <f t="shared" si="44"/>
        <v>1807.0804226987188</v>
      </c>
      <c r="AV41" s="36">
        <f t="shared" si="45"/>
        <v>35.132803469295546</v>
      </c>
      <c r="AW41" s="37">
        <f t="shared" si="46"/>
        <v>15.544391404465241</v>
      </c>
      <c r="AX41" s="40">
        <f t="shared" si="9"/>
        <v>420.89280806418759</v>
      </c>
      <c r="AY41" s="2">
        <f t="shared" si="57"/>
        <v>13.217169685360123</v>
      </c>
      <c r="AZ41" s="2">
        <f t="shared" si="47"/>
        <v>774.87400173977642</v>
      </c>
      <c r="BA41" s="2">
        <f t="shared" si="48"/>
        <v>822.49840158835786</v>
      </c>
      <c r="BB41" s="44">
        <f t="shared" si="60"/>
        <v>822.49840158835786</v>
      </c>
      <c r="BC41">
        <f t="shared" si="49"/>
        <v>114</v>
      </c>
      <c r="BD41" s="2">
        <f t="shared" si="50"/>
        <v>70.69243309247959</v>
      </c>
      <c r="BE41" s="2">
        <f t="shared" si="51"/>
        <v>657.99872127068636</v>
      </c>
      <c r="BF41" s="2">
        <f t="shared" si="10"/>
        <v>38.889619351082374</v>
      </c>
      <c r="BG41" s="24">
        <f t="shared" si="61"/>
        <v>0.55012421626805674</v>
      </c>
    </row>
    <row r="42" spans="1:59" x14ac:dyDescent="0.25">
      <c r="A42" s="20">
        <f t="shared" si="12"/>
        <v>120</v>
      </c>
      <c r="B42" s="20">
        <v>2</v>
      </c>
      <c r="C42" s="27">
        <f t="shared" si="58"/>
        <v>822.49840158835786</v>
      </c>
      <c r="D42" s="2">
        <f t="shared" si="13"/>
        <v>22.053774854490197</v>
      </c>
      <c r="E42" s="2">
        <f t="shared" si="14"/>
        <v>810.63135801695603</v>
      </c>
      <c r="F42" s="25">
        <f t="shared" si="15"/>
        <v>36.047212654084554</v>
      </c>
      <c r="G42">
        <f t="shared" si="16"/>
        <v>7.2596028592842782E-5</v>
      </c>
      <c r="H42">
        <f t="shared" si="17"/>
        <v>1.2656731342500937E-4</v>
      </c>
      <c r="I42" s="51">
        <f t="shared" si="59"/>
        <v>6.8998682863885357E-5</v>
      </c>
      <c r="J42" s="28">
        <f t="shared" si="52"/>
        <v>0.14302191045310328</v>
      </c>
      <c r="K42" s="24">
        <f t="shared" si="53"/>
        <v>11.412841276456174</v>
      </c>
      <c r="L42" s="33">
        <f t="shared" si="54"/>
        <v>10.102276184557756</v>
      </c>
      <c r="M42" s="39">
        <f t="shared" si="55"/>
        <v>730.70103964461146</v>
      </c>
      <c r="N42" s="40">
        <f t="shared" si="18"/>
        <v>403.23767182620173</v>
      </c>
      <c r="O42" s="32">
        <f t="shared" si="19"/>
        <v>717.86948473395114</v>
      </c>
      <c r="P42" s="32">
        <f t="shared" si="20"/>
        <v>19.555433113892505</v>
      </c>
      <c r="Q42" s="33">
        <f t="shared" si="21"/>
        <v>11.398071258178184</v>
      </c>
      <c r="R42" s="33">
        <f t="shared" si="22"/>
        <v>10.101287480107132</v>
      </c>
      <c r="S42" s="39">
        <f t="shared" si="23"/>
        <v>825.04023046258169</v>
      </c>
      <c r="T42" s="36">
        <f t="shared" si="24"/>
        <v>608.76257972988992</v>
      </c>
      <c r="U42" s="36">
        <f t="shared" si="25"/>
        <v>12.180920881107236</v>
      </c>
      <c r="V42" s="37">
        <f t="shared" si="26"/>
        <v>15.517478082875765</v>
      </c>
      <c r="W42" s="40">
        <f t="shared" si="3"/>
        <v>1252.2188206347867</v>
      </c>
      <c r="X42" s="32">
        <f t="shared" si="27"/>
        <v>813.76024215667849</v>
      </c>
      <c r="Y42" s="32">
        <f t="shared" si="28"/>
        <v>22.125638540218155</v>
      </c>
      <c r="Z42" s="33">
        <f t="shared" si="29"/>
        <v>11.419680904659721</v>
      </c>
      <c r="AA42" s="33">
        <f t="shared" si="30"/>
        <v>10.102732313796416</v>
      </c>
      <c r="AB42" s="39">
        <f t="shared" si="4"/>
        <v>727.92438081808234</v>
      </c>
      <c r="AC42" s="36">
        <f t="shared" si="31"/>
        <v>1932.2619486856784</v>
      </c>
      <c r="AD42" s="36">
        <f t="shared" si="32"/>
        <v>36.258970935855736</v>
      </c>
      <c r="AE42" s="37">
        <f t="shared" si="33"/>
        <v>16.54641229047235</v>
      </c>
      <c r="AF42" s="40">
        <f t="shared" si="5"/>
        <v>407.38358390740405</v>
      </c>
      <c r="AG42" s="32">
        <f t="shared" si="34"/>
        <v>715.63368273121932</v>
      </c>
      <c r="AH42" s="32">
        <f t="shared" si="35"/>
        <v>19.482805146554725</v>
      </c>
      <c r="AI42" s="33">
        <f t="shared" si="36"/>
        <v>11.404929381330851</v>
      </c>
      <c r="AJ42" s="33">
        <f t="shared" si="37"/>
        <v>10.101747196506896</v>
      </c>
      <c r="AK42" s="39">
        <f t="shared" si="6"/>
        <v>827.65550879058708</v>
      </c>
      <c r="AL42" s="36">
        <f t="shared" si="38"/>
        <v>608.9299587937104</v>
      </c>
      <c r="AM42" s="36">
        <f t="shared" si="39"/>
        <v>12.259274299667808</v>
      </c>
      <c r="AN42" s="37">
        <f t="shared" si="40"/>
        <v>15.422539571872557</v>
      </c>
      <c r="AO42" s="40">
        <f t="shared" si="7"/>
        <v>1248.0391541013901</v>
      </c>
      <c r="AP42" s="32">
        <f t="shared" si="56"/>
        <v>817.01329247682133</v>
      </c>
      <c r="AQ42" s="32">
        <f t="shared" si="41"/>
        <v>22.199729878115306</v>
      </c>
      <c r="AR42" s="33">
        <f t="shared" si="42"/>
        <v>11.427066283109118</v>
      </c>
      <c r="AS42" s="33">
        <f t="shared" si="43"/>
        <v>10.103223635564689</v>
      </c>
      <c r="AT42" s="39">
        <f t="shared" si="8"/>
        <v>725.06131007635474</v>
      </c>
      <c r="AU42" s="36">
        <f t="shared" si="44"/>
        <v>1914.3234864962501</v>
      </c>
      <c r="AV42" s="36">
        <f t="shared" si="45"/>
        <v>36.100883871180919</v>
      </c>
      <c r="AW42" s="37">
        <f t="shared" si="46"/>
        <v>16.464585694559229</v>
      </c>
      <c r="AX42" s="40">
        <f t="shared" si="9"/>
        <v>410.18302263419986</v>
      </c>
      <c r="AY42" s="27">
        <f t="shared" si="57"/>
        <v>13.70009543338222</v>
      </c>
      <c r="AZ42" s="27">
        <f t="shared" si="47"/>
        <v>776.42035753690152</v>
      </c>
      <c r="BA42" s="27">
        <f t="shared" si="48"/>
        <v>829.45614531944511</v>
      </c>
      <c r="BB42" s="49">
        <f t="shared" si="60"/>
        <v>829.45614531944511</v>
      </c>
      <c r="BC42" s="20">
        <f>A42</f>
        <v>120</v>
      </c>
      <c r="BD42" s="27">
        <f>I42*10^6</f>
        <v>68.998682863885364</v>
      </c>
      <c r="BE42" s="27">
        <f t="shared" si="51"/>
        <v>663.56491625555611</v>
      </c>
      <c r="BF42" s="27">
        <f t="shared" si="10"/>
        <v>37.282841099747451</v>
      </c>
      <c r="BG42" s="54">
        <f t="shared" si="61"/>
        <v>0.54034134496879915</v>
      </c>
    </row>
    <row r="43" spans="1:59" x14ac:dyDescent="0.25">
      <c r="A43">
        <f t="shared" si="12"/>
        <v>126</v>
      </c>
      <c r="B43">
        <v>2.1</v>
      </c>
      <c r="C43" s="2">
        <f t="shared" si="58"/>
        <v>829.45614531944511</v>
      </c>
      <c r="D43" s="2">
        <f t="shared" si="13"/>
        <v>22.250831313528707</v>
      </c>
      <c r="E43" s="2">
        <f t="shared" si="14"/>
        <v>819.27303304440375</v>
      </c>
      <c r="F43" s="25">
        <f t="shared" si="15"/>
        <v>37.914291359766843</v>
      </c>
      <c r="G43">
        <f t="shared" si="16"/>
        <v>7.0785977828263653E-5</v>
      </c>
      <c r="H43">
        <f t="shared" si="17"/>
        <v>1.2341158621959237E-4</v>
      </c>
      <c r="I43" s="51">
        <f t="shared" si="59"/>
        <v>6.7420819261176858E-5</v>
      </c>
      <c r="J43" s="28">
        <f t="shared" si="52"/>
        <v>0.1401619313242673</v>
      </c>
      <c r="K43" s="24">
        <f t="shared" si="53"/>
        <v>11.729466441317108</v>
      </c>
      <c r="L43" s="33">
        <f t="shared" si="54"/>
        <v>10.122424696973745</v>
      </c>
      <c r="M43" s="39">
        <f t="shared" si="55"/>
        <v>726.56430075409401</v>
      </c>
      <c r="N43" s="40">
        <f t="shared" si="18"/>
        <v>405.66949484666338</v>
      </c>
      <c r="O43" s="32">
        <f t="shared" si="19"/>
        <v>714.54981861983219</v>
      </c>
      <c r="P43" s="32">
        <f t="shared" si="20"/>
        <v>19.447293084464405</v>
      </c>
      <c r="Q43" s="33">
        <f t="shared" si="21"/>
        <v>11.704940013234532</v>
      </c>
      <c r="R43" s="33">
        <f t="shared" si="22"/>
        <v>10.12092380870693</v>
      </c>
      <c r="S43" s="39">
        <f t="shared" si="23"/>
        <v>832.92481831675639</v>
      </c>
      <c r="T43" s="36">
        <f t="shared" si="24"/>
        <v>608.85929913446739</v>
      </c>
      <c r="U43" s="36">
        <f t="shared" si="25"/>
        <v>12.226833116744682</v>
      </c>
      <c r="V43" s="37">
        <f t="shared" si="26"/>
        <v>15.863492120200844</v>
      </c>
      <c r="W43" s="40">
        <f t="shared" si="3"/>
        <v>1269.6216909959062</v>
      </c>
      <c r="X43" s="32">
        <f t="shared" si="27"/>
        <v>823.67231025692763</v>
      </c>
      <c r="Y43" s="32">
        <f t="shared" si="28"/>
        <v>22.349475749112166</v>
      </c>
      <c r="Z43" s="33">
        <f t="shared" si="29"/>
        <v>11.740401909547758</v>
      </c>
      <c r="AA43" s="33">
        <f t="shared" si="30"/>
        <v>10.12309131947114</v>
      </c>
      <c r="AB43" s="39">
        <f t="shared" si="4"/>
        <v>722.73127560092507</v>
      </c>
      <c r="AC43" s="36">
        <f t="shared" si="31"/>
        <v>2008.7237991027014</v>
      </c>
      <c r="AD43" s="36">
        <f t="shared" si="32"/>
        <v>36.921404473949607</v>
      </c>
      <c r="AE43" s="37">
        <f t="shared" si="33"/>
        <v>17.331567798830022</v>
      </c>
      <c r="AF43" s="40">
        <f t="shared" si="5"/>
        <v>402.24492969705227</v>
      </c>
      <c r="AG43" s="32">
        <f t="shared" si="34"/>
        <v>711.53490710127153</v>
      </c>
      <c r="AH43" s="32">
        <f t="shared" si="35"/>
        <v>19.347434689796579</v>
      </c>
      <c r="AI43" s="33">
        <f t="shared" si="36"/>
        <v>11.715711267723789</v>
      </c>
      <c r="AJ43" s="33">
        <f t="shared" si="37"/>
        <v>10.121583954169751</v>
      </c>
      <c r="AK43" s="39">
        <f t="shared" si="6"/>
        <v>836.50864084816249</v>
      </c>
      <c r="AL43" s="36">
        <f t="shared" si="38"/>
        <v>608.72425554584675</v>
      </c>
      <c r="AM43" s="36">
        <f t="shared" si="39"/>
        <v>12.162216224455303</v>
      </c>
      <c r="AN43" s="37">
        <f t="shared" si="40"/>
        <v>15.94423641899613</v>
      </c>
      <c r="AO43" s="40">
        <f t="shared" si="7"/>
        <v>1273.1311195215746</v>
      </c>
      <c r="AP43" s="32">
        <f t="shared" si="56"/>
        <v>828.28190688050358</v>
      </c>
      <c r="AQ43" s="32">
        <f t="shared" si="41"/>
        <v>22.451677962721725</v>
      </c>
      <c r="AR43" s="33">
        <f t="shared" si="42"/>
        <v>11.752363312879062</v>
      </c>
      <c r="AS43" s="33">
        <f t="shared" si="43"/>
        <v>10.123818735601954</v>
      </c>
      <c r="AT43" s="39">
        <f t="shared" si="8"/>
        <v>718.76073908417004</v>
      </c>
      <c r="AU43" s="36">
        <f t="shared" si="44"/>
        <v>2024.4922386202875</v>
      </c>
      <c r="AV43" s="36">
        <f t="shared" si="45"/>
        <v>37.055811485637555</v>
      </c>
      <c r="AW43" s="37">
        <f t="shared" si="46"/>
        <v>17.404262550464622</v>
      </c>
      <c r="AX43" s="40">
        <f t="shared" si="9"/>
        <v>399.9480423282925</v>
      </c>
      <c r="AY43" s="2">
        <f t="shared" si="57"/>
        <v>14.182121923984596</v>
      </c>
      <c r="AZ43" s="2">
        <f t="shared" si="47"/>
        <v>777.7313684625035</v>
      </c>
      <c r="BA43" s="2">
        <f t="shared" si="48"/>
        <v>836.23644563570645</v>
      </c>
      <c r="BB43" s="44">
        <f t="shared" si="60"/>
        <v>836.23644563570645</v>
      </c>
      <c r="BC43">
        <f t="shared" si="49"/>
        <v>126</v>
      </c>
      <c r="BD43" s="2">
        <f t="shared" si="50"/>
        <v>67.42081926117686</v>
      </c>
      <c r="BE43" s="2">
        <f t="shared" si="51"/>
        <v>668.9891565085652</v>
      </c>
      <c r="BF43" s="2">
        <f t="shared" si="10"/>
        <v>35.80580266644975</v>
      </c>
      <c r="BG43" s="24">
        <f t="shared" si="61"/>
        <v>0.53107931732102098</v>
      </c>
    </row>
    <row r="44" spans="1:59" x14ac:dyDescent="0.25">
      <c r="A44">
        <f t="shared" si="12"/>
        <v>132</v>
      </c>
      <c r="B44">
        <v>2.2000000000000002</v>
      </c>
      <c r="C44" s="2">
        <f t="shared" si="58"/>
        <v>836.23644563570645</v>
      </c>
      <c r="D44" s="2">
        <f t="shared" si="13"/>
        <v>22.443905497848363</v>
      </c>
      <c r="E44" s="2">
        <f t="shared" si="14"/>
        <v>827.9295001861866</v>
      </c>
      <c r="F44" s="25">
        <f t="shared" si="15"/>
        <v>39.794113704268817</v>
      </c>
      <c r="G44">
        <f t="shared" si="16"/>
        <v>6.9093833492124221E-5</v>
      </c>
      <c r="H44">
        <f t="shared" si="17"/>
        <v>1.2046142259902168E-4</v>
      </c>
      <c r="I44" s="51">
        <f t="shared" si="59"/>
        <v>6.594573745089151E-5</v>
      </c>
      <c r="J44" s="28">
        <f t="shared" si="52"/>
        <v>0.13747499601766641</v>
      </c>
      <c r="K44" s="24">
        <f t="shared" si="53"/>
        <v>12.041673682380434</v>
      </c>
      <c r="L44" s="33">
        <f t="shared" si="54"/>
        <v>10.141000166482023</v>
      </c>
      <c r="M44" s="39">
        <f t="shared" si="55"/>
        <v>722.28156790984224</v>
      </c>
      <c r="N44" s="40">
        <f t="shared" si="18"/>
        <v>407.86166837915704</v>
      </c>
      <c r="O44" s="32">
        <f t="shared" si="19"/>
        <v>711.18500414731795</v>
      </c>
      <c r="P44" s="32">
        <f t="shared" si="20"/>
        <v>19.335740426308412</v>
      </c>
      <c r="Q44" s="33">
        <f t="shared" si="21"/>
        <v>12.006424978613987</v>
      </c>
      <c r="R44" s="33">
        <f t="shared" si="22"/>
        <v>10.138936668024463</v>
      </c>
      <c r="S44" s="39">
        <f t="shared" si="23"/>
        <v>840.67652283555753</v>
      </c>
      <c r="T44" s="36">
        <f t="shared" si="24"/>
        <v>608.95004175727991</v>
      </c>
      <c r="U44" s="36">
        <f t="shared" si="25"/>
        <v>12.268334357453252</v>
      </c>
      <c r="V44" s="37">
        <f t="shared" si="26"/>
        <v>16.202722317613581</v>
      </c>
      <c r="W44" s="40">
        <f t="shared" si="3"/>
        <v>1286.4862456270541</v>
      </c>
      <c r="X44" s="32">
        <f t="shared" si="27"/>
        <v>833.7255173684224</v>
      </c>
      <c r="Y44" s="32">
        <f t="shared" si="28"/>
        <v>22.570898033970273</v>
      </c>
      <c r="Z44" s="33">
        <f t="shared" si="29"/>
        <v>12.057747448023736</v>
      </c>
      <c r="AA44" s="33">
        <f t="shared" si="30"/>
        <v>10.141939721948344</v>
      </c>
      <c r="AB44" s="39">
        <f t="shared" si="4"/>
        <v>717.32675695516275</v>
      </c>
      <c r="AC44" s="36">
        <f t="shared" si="31"/>
        <v>2085.584166015979</v>
      </c>
      <c r="AD44" s="36">
        <f t="shared" si="32"/>
        <v>37.569819766158716</v>
      </c>
      <c r="AE44" s="37">
        <f t="shared" si="33"/>
        <v>18.120932284593383</v>
      </c>
      <c r="AF44" s="40">
        <f t="shared" si="5"/>
        <v>397.24218785061532</v>
      </c>
      <c r="AG44" s="32">
        <f t="shared" si="34"/>
        <v>707.38251574577589</v>
      </c>
      <c r="AH44" s="32">
        <f t="shared" si="35"/>
        <v>19.207194727230387</v>
      </c>
      <c r="AI44" s="33">
        <f t="shared" si="36"/>
        <v>12.02215464047992</v>
      </c>
      <c r="AJ44" s="33">
        <f t="shared" si="37"/>
        <v>10.139858086336304</v>
      </c>
      <c r="AK44" s="39">
        <f t="shared" si="6"/>
        <v>845.27233512686121</v>
      </c>
      <c r="AL44" s="36">
        <f t="shared" si="38"/>
        <v>608.54092562627545</v>
      </c>
      <c r="AM44" s="36">
        <f t="shared" si="39"/>
        <v>12.068293469746491</v>
      </c>
      <c r="AN44" s="37">
        <f t="shared" si="40"/>
        <v>16.460228369476624</v>
      </c>
      <c r="AO44" s="40">
        <f t="shared" si="7"/>
        <v>1297.5405970079023</v>
      </c>
      <c r="AP44" s="32">
        <f t="shared" si="56"/>
        <v>839.83209131900367</v>
      </c>
      <c r="AQ44" s="32">
        <f t="shared" si="41"/>
        <v>22.702809920890928</v>
      </c>
      <c r="AR44" s="33">
        <f t="shared" si="42"/>
        <v>12.075490505810242</v>
      </c>
      <c r="AS44" s="33">
        <f t="shared" si="43"/>
        <v>10.142976037147623</v>
      </c>
      <c r="AT44" s="39">
        <f t="shared" si="8"/>
        <v>712.18370619783298</v>
      </c>
      <c r="AU44" s="36">
        <f t="shared" si="44"/>
        <v>2137.4643156514162</v>
      </c>
      <c r="AV44" s="36">
        <f t="shared" si="45"/>
        <v>37.998298592514189</v>
      </c>
      <c r="AW44" s="37">
        <f t="shared" si="46"/>
        <v>18.362281882850294</v>
      </c>
      <c r="AX44" s="40">
        <f t="shared" si="9"/>
        <v>390.17305072776315</v>
      </c>
      <c r="AY44" s="2">
        <f t="shared" si="57"/>
        <v>14.663497803432721</v>
      </c>
      <c r="AZ44" s="2">
        <f t="shared" si="47"/>
        <v>778.86483027885356</v>
      </c>
      <c r="BA44" s="2">
        <f t="shared" si="48"/>
        <v>842.86052030333371</v>
      </c>
      <c r="BB44" s="44">
        <f t="shared" si="60"/>
        <v>842.86052030333371</v>
      </c>
      <c r="BC44">
        <f t="shared" si="49"/>
        <v>132</v>
      </c>
      <c r="BD44" s="2">
        <f t="shared" si="50"/>
        <v>65.945737450891514</v>
      </c>
      <c r="BE44" s="2">
        <f t="shared" si="51"/>
        <v>674.28841624266704</v>
      </c>
      <c r="BF44" s="2">
        <f t="shared" si="10"/>
        <v>34.442759219756645</v>
      </c>
      <c r="BG44" s="24">
        <f t="shared" si="61"/>
        <v>0.52228939353973391</v>
      </c>
    </row>
    <row r="45" spans="1:59" x14ac:dyDescent="0.25">
      <c r="A45">
        <f t="shared" si="12"/>
        <v>138</v>
      </c>
      <c r="B45">
        <v>2.2999999999999998</v>
      </c>
      <c r="C45" s="2">
        <f t="shared" si="58"/>
        <v>842.86052030333371</v>
      </c>
      <c r="D45" s="2">
        <f t="shared" si="13"/>
        <v>22.63352550426201</v>
      </c>
      <c r="E45" s="2">
        <f t="shared" si="14"/>
        <v>836.61378593499057</v>
      </c>
      <c r="F45" s="25">
        <f t="shared" si="15"/>
        <v>41.687118375174492</v>
      </c>
      <c r="G45">
        <f t="shared" si="16"/>
        <v>6.7506838514699868E-5</v>
      </c>
      <c r="H45">
        <f t="shared" si="17"/>
        <v>1.1769458129096442E-4</v>
      </c>
      <c r="I45" s="51">
        <f t="shared" si="59"/>
        <v>6.4562316796862881E-5</v>
      </c>
      <c r="J45" s="28">
        <f t="shared" si="52"/>
        <v>0.13494304324582498</v>
      </c>
      <c r="K45" s="24">
        <f t="shared" si="53"/>
        <v>12.349866710684591</v>
      </c>
      <c r="L45" s="33">
        <f t="shared" si="54"/>
        <v>10.159022789807331</v>
      </c>
      <c r="M45" s="39">
        <f t="shared" si="55"/>
        <v>717.9272279094298</v>
      </c>
      <c r="N45" s="40">
        <f t="shared" si="18"/>
        <v>409.8296236830592</v>
      </c>
      <c r="O45" s="32">
        <f t="shared" si="19"/>
        <v>707.83821421381981</v>
      </c>
      <c r="P45" s="32">
        <f t="shared" si="20"/>
        <v>19.222743829296249</v>
      </c>
      <c r="Q45" s="33">
        <f t="shared" si="21"/>
        <v>12.302916813794658</v>
      </c>
      <c r="R45" s="33">
        <f t="shared" si="22"/>
        <v>10.156260313179491</v>
      </c>
      <c r="S45" s="39">
        <f t="shared" si="23"/>
        <v>848.3075359813156</v>
      </c>
      <c r="T45" s="36">
        <f t="shared" si="24"/>
        <v>609.03446635273349</v>
      </c>
      <c r="U45" s="36">
        <f t="shared" si="25"/>
        <v>12.305682493587458</v>
      </c>
      <c r="V45" s="37">
        <f t="shared" si="26"/>
        <v>16.535815808497983</v>
      </c>
      <c r="W45" s="40">
        <f t="shared" si="3"/>
        <v>1302.8612478420146</v>
      </c>
      <c r="X45" s="32">
        <f t="shared" si="27"/>
        <v>843.92534392212235</v>
      </c>
      <c r="Y45" s="32">
        <f t="shared" si="28"/>
        <v>22.790187570086658</v>
      </c>
      <c r="Z45" s="33">
        <f t="shared" si="29"/>
        <v>12.372161785204462</v>
      </c>
      <c r="AA45" s="33">
        <f t="shared" si="30"/>
        <v>10.160339424710084</v>
      </c>
      <c r="AB45" s="39">
        <f t="shared" si="4"/>
        <v>711.79952512252567</v>
      </c>
      <c r="AC45" s="36">
        <f t="shared" si="31"/>
        <v>2162.8634906882517</v>
      </c>
      <c r="AD45" s="36">
        <f t="shared" si="32"/>
        <v>38.205508682447238</v>
      </c>
      <c r="AE45" s="37">
        <f t="shared" si="33"/>
        <v>18.914400643248079</v>
      </c>
      <c r="AF45" s="40">
        <f t="shared" si="5"/>
        <v>392.36874616666779</v>
      </c>
      <c r="AG45" s="32">
        <f t="shared" si="34"/>
        <v>703.25364555676992</v>
      </c>
      <c r="AH45" s="32">
        <f t="shared" si="35"/>
        <v>19.064447253107318</v>
      </c>
      <c r="AI45" s="33">
        <f t="shared" si="36"/>
        <v>12.324724916475091</v>
      </c>
      <c r="AJ45" s="33">
        <f t="shared" si="37"/>
        <v>10.157541901840236</v>
      </c>
      <c r="AK45" s="39">
        <f t="shared" si="6"/>
        <v>853.9454662170092</v>
      </c>
      <c r="AL45" s="36">
        <f t="shared" si="38"/>
        <v>608.3771619143439</v>
      </c>
      <c r="AM45" s="36">
        <f t="shared" si="39"/>
        <v>11.977337296602791</v>
      </c>
      <c r="AN45" s="37">
        <f t="shared" si="40"/>
        <v>16.970790927839627</v>
      </c>
      <c r="AO45" s="40">
        <f t="shared" si="7"/>
        <v>1321.311952205037</v>
      </c>
      <c r="AP45" s="32">
        <f t="shared" si="56"/>
        <v>851.65704144797735</v>
      </c>
      <c r="AQ45" s="32">
        <f t="shared" si="41"/>
        <v>22.953040502103988</v>
      </c>
      <c r="AR45" s="33">
        <f t="shared" si="42"/>
        <v>12.396925151801831</v>
      </c>
      <c r="AS45" s="33">
        <f t="shared" si="43"/>
        <v>10.161806039370333</v>
      </c>
      <c r="AT45" s="39">
        <f t="shared" si="8"/>
        <v>705.43932577546434</v>
      </c>
      <c r="AU45" s="36">
        <f t="shared" si="44"/>
        <v>2253.1240852974092</v>
      </c>
      <c r="AV45" s="36">
        <f t="shared" si="45"/>
        <v>38.928974451100189</v>
      </c>
      <c r="AW45" s="37">
        <f t="shared" si="46"/>
        <v>19.337557049049707</v>
      </c>
      <c r="AX45" s="40">
        <f t="shared" si="9"/>
        <v>380.84031732941332</v>
      </c>
      <c r="AY45" s="2">
        <f t="shared" si="57"/>
        <v>15.144411636988931</v>
      </c>
      <c r="AZ45" s="2">
        <f t="shared" si="47"/>
        <v>779.87296327407876</v>
      </c>
      <c r="BA45" s="2">
        <f t="shared" si="48"/>
        <v>849.34556588578312</v>
      </c>
      <c r="BB45" s="44">
        <f t="shared" si="60"/>
        <v>849.34556588578312</v>
      </c>
      <c r="BC45">
        <f t="shared" si="49"/>
        <v>138</v>
      </c>
      <c r="BD45" s="2">
        <f t="shared" si="50"/>
        <v>64.562316796862888</v>
      </c>
      <c r="BE45" s="2">
        <f t="shared" si="51"/>
        <v>679.47645270862654</v>
      </c>
      <c r="BF45" s="2">
        <f t="shared" si="10"/>
        <v>33.180497953712198</v>
      </c>
      <c r="BG45" s="24">
        <f t="shared" si="61"/>
        <v>0.51392979062555033</v>
      </c>
    </row>
    <row r="46" spans="1:59" x14ac:dyDescent="0.25">
      <c r="A46">
        <f t="shared" si="12"/>
        <v>144</v>
      </c>
      <c r="B46">
        <v>2.4</v>
      </c>
      <c r="C46" s="2">
        <f t="shared" si="58"/>
        <v>849.34556588578312</v>
      </c>
      <c r="D46" s="2">
        <f t="shared" si="13"/>
        <v>22.820117828244612</v>
      </c>
      <c r="E46" s="2">
        <f t="shared" si="14"/>
        <v>845.33629542139818</v>
      </c>
      <c r="F46" s="25">
        <f t="shared" si="15"/>
        <v>43.593737549159286</v>
      </c>
      <c r="G46">
        <f t="shared" si="16"/>
        <v>6.6014092090707396E-5</v>
      </c>
      <c r="H46">
        <f t="shared" si="17"/>
        <v>1.1509205732137989E-4</v>
      </c>
      <c r="I46" s="51">
        <f t="shared" si="59"/>
        <v>6.3261054812070616E-5</v>
      </c>
      <c r="J46" s="28">
        <f t="shared" si="52"/>
        <v>0.13255057263620554</v>
      </c>
      <c r="K46" s="24">
        <f t="shared" si="53"/>
        <v>12.654407705411774</v>
      </c>
      <c r="L46" s="33">
        <f t="shared" si="54"/>
        <v>10.177434975222763</v>
      </c>
      <c r="M46" s="39">
        <f t="shared" si="55"/>
        <v>713.56922648750037</v>
      </c>
      <c r="N46" s="40">
        <f t="shared" si="18"/>
        <v>411.58772057395635</v>
      </c>
      <c r="O46" s="32">
        <f t="shared" si="19"/>
        <v>704.56276084969772</v>
      </c>
      <c r="P46" s="32">
        <f t="shared" si="20"/>
        <v>19.110077463194912</v>
      </c>
      <c r="Q46" s="33">
        <f t="shared" si="21"/>
        <v>12.594688378416773</v>
      </c>
      <c r="R46" s="33">
        <f t="shared" si="22"/>
        <v>10.173734549997068</v>
      </c>
      <c r="S46" s="39">
        <f t="shared" si="23"/>
        <v>855.83099136696785</v>
      </c>
      <c r="T46" s="36">
        <f t="shared" si="24"/>
        <v>609.11232541818015</v>
      </c>
      <c r="U46" s="36">
        <f t="shared" si="25"/>
        <v>12.339121275381622</v>
      </c>
      <c r="V46" s="37">
        <f t="shared" si="26"/>
        <v>16.863330188842475</v>
      </c>
      <c r="W46" s="40">
        <f t="shared" si="3"/>
        <v>1318.7889340616639</v>
      </c>
      <c r="X46" s="32">
        <f t="shared" si="27"/>
        <v>854.28030861654611</v>
      </c>
      <c r="Y46" s="32">
        <f t="shared" si="28"/>
        <v>23.0076632160063</v>
      </c>
      <c r="Z46" s="33">
        <f t="shared" si="29"/>
        <v>12.684053733436102</v>
      </c>
      <c r="AA46" s="33">
        <f t="shared" si="30"/>
        <v>10.179292900298339</v>
      </c>
      <c r="AB46" s="39">
        <f t="shared" si="4"/>
        <v>706.22730928449596</v>
      </c>
      <c r="AC46" s="36">
        <f t="shared" si="31"/>
        <v>2240.5800847480282</v>
      </c>
      <c r="AD46" s="36">
        <f t="shared" si="32"/>
        <v>38.829594961644737</v>
      </c>
      <c r="AE46" s="37">
        <f t="shared" si="33"/>
        <v>19.711868803609196</v>
      </c>
      <c r="AF46" s="40">
        <f t="shared" si="5"/>
        <v>387.6184482029222</v>
      </c>
      <c r="AG46" s="32">
        <f t="shared" si="34"/>
        <v>699.21001120993697</v>
      </c>
      <c r="AH46" s="32">
        <f t="shared" si="35"/>
        <v>18.921230715821004</v>
      </c>
      <c r="AI46" s="33">
        <f t="shared" si="36"/>
        <v>12.623751749906065</v>
      </c>
      <c r="AJ46" s="33">
        <f t="shared" si="37"/>
        <v>10.175528659134958</v>
      </c>
      <c r="AK46" s="39">
        <f t="shared" si="6"/>
        <v>862.53481988027454</v>
      </c>
      <c r="AL46" s="36">
        <f t="shared" si="38"/>
        <v>608.23047660654356</v>
      </c>
      <c r="AM46" s="36">
        <f t="shared" si="39"/>
        <v>11.8891914488898</v>
      </c>
      <c r="AN46" s="37">
        <f t="shared" si="40"/>
        <v>17.47616136014744</v>
      </c>
      <c r="AO46" s="40">
        <f t="shared" si="7"/>
        <v>1344.4846723770852</v>
      </c>
      <c r="AP46" s="32">
        <f t="shared" si="56"/>
        <v>863.76078292356101</v>
      </c>
      <c r="AQ46" s="32">
        <f t="shared" si="41"/>
        <v>23.202514664890352</v>
      </c>
      <c r="AR46" s="33">
        <f t="shared" si="42"/>
        <v>12.717115481665155</v>
      </c>
      <c r="AS46" s="33">
        <f t="shared" si="43"/>
        <v>10.181382621636288</v>
      </c>
      <c r="AT46" s="39">
        <f t="shared" si="8"/>
        <v>698.61928356230601</v>
      </c>
      <c r="AU46" s="36">
        <f t="shared" si="44"/>
        <v>2371.3617609824755</v>
      </c>
      <c r="AV46" s="36">
        <f t="shared" si="45"/>
        <v>39.848396666420463</v>
      </c>
      <c r="AW46" s="37">
        <f t="shared" si="46"/>
        <v>20.329053061317971</v>
      </c>
      <c r="AX46" s="40">
        <f t="shared" si="9"/>
        <v>371.93048146640803</v>
      </c>
      <c r="AY46" s="2">
        <f t="shared" si="57"/>
        <v>15.625002844667648</v>
      </c>
      <c r="AZ46" s="2">
        <f t="shared" si="47"/>
        <v>780.80310102351098</v>
      </c>
      <c r="BA46" s="2">
        <f t="shared" si="48"/>
        <v>855.70563402701987</v>
      </c>
      <c r="BB46" s="44">
        <f t="shared" si="60"/>
        <v>855.70563402701987</v>
      </c>
      <c r="BC46">
        <f t="shared" si="49"/>
        <v>144</v>
      </c>
      <c r="BD46" s="2">
        <f t="shared" si="50"/>
        <v>63.261054812070618</v>
      </c>
      <c r="BE46" s="2">
        <f t="shared" si="51"/>
        <v>684.56450722161594</v>
      </c>
      <c r="BF46" s="2">
        <f t="shared" si="10"/>
        <v>32.007840348890483</v>
      </c>
      <c r="BG46" s="24">
        <f t="shared" si="61"/>
        <v>0.50596437956932672</v>
      </c>
    </row>
    <row r="47" spans="1:59" x14ac:dyDescent="0.25">
      <c r="A47">
        <f t="shared" si="12"/>
        <v>150</v>
      </c>
      <c r="B47">
        <v>2.5</v>
      </c>
      <c r="C47" s="2">
        <f t="shared" si="58"/>
        <v>855.70563402701987</v>
      </c>
      <c r="D47" s="2">
        <f t="shared" si="13"/>
        <v>23.004029205727875</v>
      </c>
      <c r="E47" s="2">
        <f t="shared" si="14"/>
        <v>854.10531694135614</v>
      </c>
      <c r="F47" s="25">
        <f t="shared" si="15"/>
        <v>45.514392832166124</v>
      </c>
      <c r="G47">
        <f t="shared" si="16"/>
        <v>6.4606219789459417E-5</v>
      </c>
      <c r="H47">
        <f t="shared" si="17"/>
        <v>1.1263750686912539E-4</v>
      </c>
      <c r="I47" s="51">
        <f t="shared" si="59"/>
        <v>6.2033779585943374E-5</v>
      </c>
      <c r="J47" s="28">
        <f t="shared" si="52"/>
        <v>0.13028419951853032</v>
      </c>
      <c r="K47" s="24">
        <f t="shared" si="53"/>
        <v>12.95562248314114</v>
      </c>
      <c r="L47" s="33">
        <f t="shared" si="54"/>
        <v>10.197114640267486</v>
      </c>
      <c r="M47" s="39">
        <f t="shared" si="55"/>
        <v>709.26984475846473</v>
      </c>
      <c r="N47" s="40">
        <f t="shared" si="18"/>
        <v>413.1493352463159</v>
      </c>
      <c r="O47" s="32">
        <f t="shared" si="19"/>
        <v>701.40322950420159</v>
      </c>
      <c r="P47" s="32">
        <f t="shared" si="20"/>
        <v>18.999343457585525</v>
      </c>
      <c r="Q47" s="33">
        <f t="shared" si="21"/>
        <v>12.881900397426856</v>
      </c>
      <c r="R47" s="33">
        <f t="shared" si="22"/>
        <v>10.192116047945866</v>
      </c>
      <c r="S47" s="39">
        <f t="shared" si="23"/>
        <v>863.26119305101361</v>
      </c>
      <c r="T47" s="36">
        <f t="shared" si="24"/>
        <v>609.18345878480181</v>
      </c>
      <c r="U47" s="36">
        <f t="shared" si="25"/>
        <v>12.368881052120917</v>
      </c>
      <c r="V47" s="37">
        <f t="shared" si="26"/>
        <v>17.185748768105618</v>
      </c>
      <c r="W47" s="40">
        <f t="shared" si="3"/>
        <v>1334.306077404357</v>
      </c>
      <c r="X47" s="32">
        <f t="shared" si="27"/>
        <v>864.80250015221168</v>
      </c>
      <c r="Y47" s="32">
        <f t="shared" si="28"/>
        <v>23.223687654952982</v>
      </c>
      <c r="Z47" s="33">
        <f t="shared" si="29"/>
        <v>12.993810357874048</v>
      </c>
      <c r="AA47" s="33">
        <f t="shared" si="30"/>
        <v>10.199757923019007</v>
      </c>
      <c r="AB47" s="39">
        <f t="shared" si="4"/>
        <v>700.67810608551451</v>
      </c>
      <c r="AC47" s="36">
        <f t="shared" si="31"/>
        <v>2318.7500943149771</v>
      </c>
      <c r="AD47" s="36">
        <f t="shared" si="32"/>
        <v>39.443060011930648</v>
      </c>
      <c r="AE47" s="37">
        <f t="shared" si="33"/>
        <v>20.513233031346463</v>
      </c>
      <c r="AF47" s="40">
        <f t="shared" si="5"/>
        <v>382.98560375686628</v>
      </c>
      <c r="AG47" s="32">
        <f t="shared" si="34"/>
        <v>695.2999022522024</v>
      </c>
      <c r="AH47" s="32">
        <f t="shared" si="35"/>
        <v>18.779296855252689</v>
      </c>
      <c r="AI47" s="33">
        <f t="shared" si="36"/>
        <v>12.919437656999889</v>
      </c>
      <c r="AJ47" s="33">
        <f t="shared" si="37"/>
        <v>10.19464455594542</v>
      </c>
      <c r="AK47" s="39">
        <f t="shared" si="6"/>
        <v>871.05492261810252</v>
      </c>
      <c r="AL47" s="36">
        <f t="shared" si="38"/>
        <v>608.09866330353987</v>
      </c>
      <c r="AM47" s="36">
        <f t="shared" si="39"/>
        <v>11.803711922964556</v>
      </c>
      <c r="AN47" s="37">
        <f t="shared" si="40"/>
        <v>17.976544594013998</v>
      </c>
      <c r="AO47" s="40">
        <f t="shared" si="7"/>
        <v>1367.0940609299435</v>
      </c>
      <c r="AP47" s="32">
        <f t="shared" si="56"/>
        <v>876.15975494481722</v>
      </c>
      <c r="AQ47" s="32">
        <f t="shared" si="41"/>
        <v>23.451610136142726</v>
      </c>
      <c r="AR47" s="33">
        <f t="shared" si="42"/>
        <v>13.036511865367842</v>
      </c>
      <c r="AS47" s="33">
        <f t="shared" si="43"/>
        <v>10.202760107849219</v>
      </c>
      <c r="AT47" s="39">
        <f t="shared" si="8"/>
        <v>691.79910239267247</v>
      </c>
      <c r="AU47" s="36">
        <f t="shared" si="44"/>
        <v>2492.072671067122</v>
      </c>
      <c r="AV47" s="36">
        <f t="shared" si="45"/>
        <v>40.75706079834719</v>
      </c>
      <c r="AW47" s="37">
        <f t="shared" si="46"/>
        <v>21.335784429875424</v>
      </c>
      <c r="AX47" s="40">
        <f t="shared" si="9"/>
        <v>363.42344588086462</v>
      </c>
      <c r="AY47" s="2">
        <f t="shared" si="57"/>
        <v>16.105371387626267</v>
      </c>
      <c r="AZ47" s="2">
        <f t="shared" si="47"/>
        <v>781.69833103682572</v>
      </c>
      <c r="BA47" s="2">
        <f t="shared" si="48"/>
        <v>861.95229699300785</v>
      </c>
      <c r="BB47" s="44">
        <f t="shared" si="60"/>
        <v>861.95229699300785</v>
      </c>
      <c r="BC47">
        <f t="shared" si="49"/>
        <v>150</v>
      </c>
      <c r="BD47" s="2">
        <f t="shared" si="50"/>
        <v>62.033779585943371</v>
      </c>
      <c r="BE47" s="2">
        <f t="shared" si="51"/>
        <v>689.56183759440637</v>
      </c>
      <c r="BF47" s="2">
        <f t="shared" si="10"/>
        <v>30.915257362378288</v>
      </c>
      <c r="BG47" s="24">
        <f t="shared" si="61"/>
        <v>0.49836165986867537</v>
      </c>
    </row>
    <row r="48" spans="1:59" x14ac:dyDescent="0.25">
      <c r="A48">
        <f t="shared" si="12"/>
        <v>156</v>
      </c>
      <c r="B48">
        <v>2.6</v>
      </c>
      <c r="C48" s="2">
        <f t="shared" si="58"/>
        <v>861.95229699300785</v>
      </c>
      <c r="D48" s="2">
        <f t="shared" si="13"/>
        <v>23.185543294136387</v>
      </c>
      <c r="E48" s="2">
        <f t="shared" si="14"/>
        <v>862.92742130207876</v>
      </c>
      <c r="F48" s="25">
        <f t="shared" si="15"/>
        <v>47.449492375241867</v>
      </c>
      <c r="G48">
        <f t="shared" si="16"/>
        <v>6.3275111921041411E-5</v>
      </c>
      <c r="H48">
        <f t="shared" si="17"/>
        <v>1.10316791121306E-4</v>
      </c>
      <c r="I48" s="51">
        <f t="shared" si="59"/>
        <v>6.0873421712033673E-5</v>
      </c>
      <c r="J48" s="28">
        <f t="shared" si="52"/>
        <v>0.12813230007387455</v>
      </c>
      <c r="K48" s="24">
        <f t="shared" si="53"/>
        <v>13.253804895610985</v>
      </c>
      <c r="L48" s="33">
        <f t="shared" si="54"/>
        <v>10.218886146124017</v>
      </c>
      <c r="M48" s="39">
        <f t="shared" si="55"/>
        <v>705.08635729198397</v>
      </c>
      <c r="N48" s="40">
        <f t="shared" si="18"/>
        <v>414.52693935350555</v>
      </c>
      <c r="O48" s="32">
        <f t="shared" si="19"/>
        <v>698.39660434433995</v>
      </c>
      <c r="P48" s="32">
        <f t="shared" si="20"/>
        <v>18.89199186648721</v>
      </c>
      <c r="Q48" s="33">
        <f t="shared" si="21"/>
        <v>13.164608539740003</v>
      </c>
      <c r="R48" s="33">
        <f t="shared" si="22"/>
        <v>10.212084604737893</v>
      </c>
      <c r="S48" s="39">
        <f t="shared" si="23"/>
        <v>870.61331717430642</v>
      </c>
      <c r="T48" s="36">
        <f t="shared" si="24"/>
        <v>609.24778592065866</v>
      </c>
      <c r="U48" s="36">
        <f t="shared" si="25"/>
        <v>12.395179479089016</v>
      </c>
      <c r="V48" s="37">
        <f t="shared" si="26"/>
        <v>17.50349280161058</v>
      </c>
      <c r="W48" s="40">
        <f t="shared" si="3"/>
        <v>1349.4448469750632</v>
      </c>
      <c r="X48" s="32">
        <f t="shared" si="27"/>
        <v>875.50738883446388</v>
      </c>
      <c r="Y48" s="32">
        <f t="shared" si="28"/>
        <v>23.438659312713682</v>
      </c>
      <c r="Z48" s="33">
        <f t="shared" si="29"/>
        <v>13.301806610249988</v>
      </c>
      <c r="AA48" s="33">
        <f t="shared" si="30"/>
        <v>10.222660550349339</v>
      </c>
      <c r="AB48" s="39">
        <f t="shared" si="4"/>
        <v>695.21181665821041</v>
      </c>
      <c r="AC48" s="36">
        <f t="shared" si="31"/>
        <v>2397.38751732828</v>
      </c>
      <c r="AD48" s="36">
        <f t="shared" si="32"/>
        <v>40.0467640216037</v>
      </c>
      <c r="AE48" s="37">
        <f t="shared" si="33"/>
        <v>21.318389431764309</v>
      </c>
      <c r="AF48" s="40">
        <f t="shared" si="5"/>
        <v>378.46497560375212</v>
      </c>
      <c r="AG48" s="32">
        <f t="shared" si="34"/>
        <v>691.56049245156976</v>
      </c>
      <c r="AH48" s="32">
        <f t="shared" si="35"/>
        <v>18.640158103821172</v>
      </c>
      <c r="AI48" s="33">
        <f t="shared" si="36"/>
        <v>13.211866100179366</v>
      </c>
      <c r="AJ48" s="33">
        <f t="shared" si="37"/>
        <v>10.215654764308507</v>
      </c>
      <c r="AK48" s="39">
        <f t="shared" si="6"/>
        <v>879.52675203761009</v>
      </c>
      <c r="AL48" s="36">
        <f t="shared" si="38"/>
        <v>607.97976313354593</v>
      </c>
      <c r="AM48" s="36">
        <f t="shared" si="39"/>
        <v>11.720766323326831</v>
      </c>
      <c r="AN48" s="37">
        <f t="shared" si="40"/>
        <v>18.472118104916614</v>
      </c>
      <c r="AO48" s="40">
        <f t="shared" si="7"/>
        <v>1389.1718146179437</v>
      </c>
      <c r="AP48" s="32">
        <f t="shared" si="56"/>
        <v>888.88268111230616</v>
      </c>
      <c r="AQ48" s="32">
        <f t="shared" si="41"/>
        <v>23.700906549567399</v>
      </c>
      <c r="AR48" s="33">
        <f t="shared" si="42"/>
        <v>13.355589651908575</v>
      </c>
      <c r="AS48" s="33">
        <f t="shared" si="43"/>
        <v>10.226989898778054</v>
      </c>
      <c r="AT48" s="39">
        <f t="shared" si="8"/>
        <v>685.04074510717317</v>
      </c>
      <c r="AU48" s="36">
        <f t="shared" si="44"/>
        <v>2615.1566541772181</v>
      </c>
      <c r="AV48" s="36">
        <f t="shared" si="45"/>
        <v>41.655408521472005</v>
      </c>
      <c r="AW48" s="37">
        <f t="shared" si="46"/>
        <v>22.356812862814806</v>
      </c>
      <c r="AX48" s="40">
        <f t="shared" si="9"/>
        <v>355.29899186017349</v>
      </c>
      <c r="AY48" s="2">
        <f t="shared" si="57"/>
        <v>16.585585512898028</v>
      </c>
      <c r="AZ48" s="2">
        <f t="shared" si="47"/>
        <v>782.59815774432502</v>
      </c>
      <c r="BA48" s="2">
        <f t="shared" si="48"/>
        <v>868.09515726423308</v>
      </c>
      <c r="BB48" s="44">
        <f t="shared" si="60"/>
        <v>868.09515726423308</v>
      </c>
      <c r="BC48">
        <f t="shared" si="49"/>
        <v>156</v>
      </c>
      <c r="BD48" s="2">
        <f t="shared" si="50"/>
        <v>60.873421712033675</v>
      </c>
      <c r="BE48" s="2">
        <f t="shared" si="51"/>
        <v>694.47612581138651</v>
      </c>
      <c r="BF48" s="2">
        <f t="shared" si="10"/>
        <v>29.894569659279163</v>
      </c>
      <c r="BG48" s="24">
        <f t="shared" si="61"/>
        <v>0.49109395888237867</v>
      </c>
    </row>
    <row r="49" spans="1:59" x14ac:dyDescent="0.25">
      <c r="A49">
        <f t="shared" si="12"/>
        <v>162</v>
      </c>
      <c r="B49">
        <v>2.7</v>
      </c>
      <c r="C49" s="2">
        <f t="shared" si="58"/>
        <v>868.09515726423308</v>
      </c>
      <c r="D49" s="2">
        <f t="shared" si="13"/>
        <v>23.364893507469645</v>
      </c>
      <c r="E49" s="2">
        <f t="shared" si="14"/>
        <v>871.80777884944655</v>
      </c>
      <c r="F49" s="25">
        <f t="shared" si="15"/>
        <v>49.399428856406757</v>
      </c>
      <c r="G49">
        <f t="shared" si="16"/>
        <v>6.201371420412934E-5</v>
      </c>
      <c r="H49">
        <f t="shared" si="17"/>
        <v>1.0811761131375188E-4</v>
      </c>
      <c r="I49" s="51">
        <f t="shared" si="59"/>
        <v>5.9773831808256611E-5</v>
      </c>
      <c r="J49" s="28">
        <f t="shared" si="52"/>
        <v>0.12608472608393431</v>
      </c>
      <c r="K49" s="24">
        <f t="shared" si="53"/>
        <v>13.54922058672801</v>
      </c>
      <c r="L49" s="33">
        <f t="shared" si="54"/>
        <v>10.243529333984402</v>
      </c>
      <c r="M49" s="39">
        <f t="shared" si="55"/>
        <v>701.07159408934706</v>
      </c>
      <c r="N49" s="40">
        <f t="shared" si="18"/>
        <v>415.73217182367102</v>
      </c>
      <c r="O49" s="32">
        <f t="shared" si="19"/>
        <v>695.57336074795501</v>
      </c>
      <c r="P49" s="32">
        <f t="shared" si="20"/>
        <v>18.789338510393947</v>
      </c>
      <c r="Q49" s="33">
        <f t="shared" si="21"/>
        <v>13.442771904655549</v>
      </c>
      <c r="R49" s="33">
        <f t="shared" si="22"/>
        <v>10.234245301310668</v>
      </c>
      <c r="S49" s="39">
        <f t="shared" si="23"/>
        <v>877.90268322749455</v>
      </c>
      <c r="T49" s="36">
        <f t="shared" si="24"/>
        <v>609.30529760078161</v>
      </c>
      <c r="U49" s="36">
        <f t="shared" si="25"/>
        <v>12.418222200627785</v>
      </c>
      <c r="V49" s="37">
        <f t="shared" si="26"/>
        <v>17.816931371161015</v>
      </c>
      <c r="W49" s="40">
        <f t="shared" si="3"/>
        <v>1364.2335078451451</v>
      </c>
      <c r="X49" s="32">
        <f t="shared" si="27"/>
        <v>886.41292049757101</v>
      </c>
      <c r="Y49" s="32">
        <f t="shared" si="28"/>
        <v>23.652991306935988</v>
      </c>
      <c r="Z49" s="33">
        <f t="shared" si="29"/>
        <v>13.608409990081165</v>
      </c>
      <c r="AA49" s="33">
        <f t="shared" si="30"/>
        <v>10.248906936114096</v>
      </c>
      <c r="AB49" s="39">
        <f t="shared" si="4"/>
        <v>689.88224334304766</v>
      </c>
      <c r="AC49" s="36">
        <f t="shared" si="31"/>
        <v>2476.5042552224513</v>
      </c>
      <c r="AD49" s="36">
        <f t="shared" si="32"/>
        <v>40.641463363026986</v>
      </c>
      <c r="AE49" s="37">
        <f t="shared" si="33"/>
        <v>22.127233610503051</v>
      </c>
      <c r="AF49" s="40">
        <f t="shared" si="5"/>
        <v>374.05175334428793</v>
      </c>
      <c r="AG49" s="32">
        <f t="shared" si="34"/>
        <v>688.02028530564144</v>
      </c>
      <c r="AH49" s="32">
        <f t="shared" si="35"/>
        <v>18.505143738045135</v>
      </c>
      <c r="AI49" s="33">
        <f t="shared" si="36"/>
        <v>13.501006913802611</v>
      </c>
      <c r="AJ49" s="33">
        <f t="shared" si="37"/>
        <v>10.239264248314022</v>
      </c>
      <c r="AK49" s="39">
        <f t="shared" si="6"/>
        <v>887.9755406250539</v>
      </c>
      <c r="AL49" s="36">
        <f t="shared" si="38"/>
        <v>607.87203498489907</v>
      </c>
      <c r="AM49" s="36">
        <f t="shared" si="39"/>
        <v>11.640233016656191</v>
      </c>
      <c r="AN49" s="37">
        <f t="shared" si="40"/>
        <v>18.963035999660661</v>
      </c>
      <c r="AO49" s="40">
        <f t="shared" si="7"/>
        <v>1410.7465062239223</v>
      </c>
      <c r="AP49" s="32">
        <f t="shared" si="56"/>
        <v>901.96870631076854</v>
      </c>
      <c r="AQ49" s="32">
        <f t="shared" si="41"/>
        <v>23.951126089319629</v>
      </c>
      <c r="AR49" s="33">
        <f t="shared" si="42"/>
        <v>13.67486074323188</v>
      </c>
      <c r="AS49" s="33">
        <f t="shared" si="43"/>
        <v>10.255137849373995</v>
      </c>
      <c r="AT49" s="39">
        <f t="shared" si="8"/>
        <v>678.39638907187543</v>
      </c>
      <c r="AU49" s="36">
        <f t="shared" si="44"/>
        <v>2740.5175579061674</v>
      </c>
      <c r="AV49" s="36">
        <f t="shared" si="45"/>
        <v>42.543834585136558</v>
      </c>
      <c r="AW49" s="37">
        <f t="shared" si="46"/>
        <v>23.39124495512349</v>
      </c>
      <c r="AX49" s="40">
        <f t="shared" si="9"/>
        <v>347.53719572638443</v>
      </c>
      <c r="AY49" s="2">
        <f t="shared" si="57"/>
        <v>17.065686936027429</v>
      </c>
      <c r="AZ49" s="2">
        <f t="shared" si="47"/>
        <v>783.53921406686788</v>
      </c>
      <c r="BA49" s="2">
        <f t="shared" si="48"/>
        <v>874.14224078493498</v>
      </c>
      <c r="BB49" s="44">
        <f t="shared" si="60"/>
        <v>874.14224078493498</v>
      </c>
      <c r="BC49">
        <f t="shared" si="49"/>
        <v>162</v>
      </c>
      <c r="BD49" s="2">
        <f t="shared" si="50"/>
        <v>59.77383180825661</v>
      </c>
      <c r="BE49" s="2">
        <f t="shared" si="51"/>
        <v>699.31379262794803</v>
      </c>
      <c r="BF49" s="2">
        <f t="shared" si="10"/>
        <v>28.938712532667836</v>
      </c>
      <c r="BG49" s="24">
        <f t="shared" si="61"/>
        <v>0.48413681467666103</v>
      </c>
    </row>
    <row r="50" spans="1:59" x14ac:dyDescent="0.25">
      <c r="A50">
        <f t="shared" si="12"/>
        <v>168</v>
      </c>
      <c r="B50">
        <v>2.8</v>
      </c>
      <c r="C50" s="2">
        <f t="shared" si="58"/>
        <v>874.14224078493498</v>
      </c>
      <c r="D50" s="2">
        <f t="shared" si="13"/>
        <v>23.542272964302541</v>
      </c>
      <c r="E50" s="2">
        <f t="shared" si="14"/>
        <v>880.75041207606466</v>
      </c>
      <c r="F50" s="25">
        <f t="shared" si="15"/>
        <v>51.364578102905213</v>
      </c>
      <c r="G50">
        <f t="shared" si="16"/>
        <v>6.0815858905407226E-5</v>
      </c>
      <c r="H50">
        <f t="shared" si="17"/>
        <v>1.0602921433157706E-4</v>
      </c>
      <c r="I50" s="51">
        <f t="shared" si="59"/>
        <v>5.8729633317169201E-5</v>
      </c>
      <c r="J50" s="28">
        <f t="shared" si="52"/>
        <v>0.12413257380234821</v>
      </c>
      <c r="K50" s="24">
        <f t="shared" si="53"/>
        <v>13.84211021547145</v>
      </c>
      <c r="L50" s="33">
        <f t="shared" si="54"/>
        <v>10.271787027102192</v>
      </c>
      <c r="M50" s="39">
        <f t="shared" si="55"/>
        <v>697.27442342082713</v>
      </c>
      <c r="N50" s="40">
        <f t="shared" si="18"/>
        <v>416.77590433127017</v>
      </c>
      <c r="O50" s="32">
        <f t="shared" si="19"/>
        <v>692.9585089933305</v>
      </c>
      <c r="P50" s="32">
        <f t="shared" si="20"/>
        <v>18.692580999429211</v>
      </c>
      <c r="Q50" s="33">
        <f t="shared" si="21"/>
        <v>13.716262862369291</v>
      </c>
      <c r="R50" s="33">
        <f t="shared" si="22"/>
        <v>10.259127487457459</v>
      </c>
      <c r="S50" s="39">
        <f t="shared" si="23"/>
        <v>885.14369221204095</v>
      </c>
      <c r="T50" s="36">
        <f t="shared" si="24"/>
        <v>609.35604740331314</v>
      </c>
      <c r="U50" s="36">
        <f t="shared" si="25"/>
        <v>12.438203510161932</v>
      </c>
      <c r="V50" s="37">
        <f t="shared" si="26"/>
        <v>18.126389419859276</v>
      </c>
      <c r="W50" s="40">
        <f t="shared" si="3"/>
        <v>1378.6969956753287</v>
      </c>
      <c r="X50" s="32">
        <f t="shared" si="27"/>
        <v>897.53792447731882</v>
      </c>
      <c r="Y50" s="32">
        <f t="shared" si="28"/>
        <v>23.867079843185202</v>
      </c>
      <c r="Z50" s="33">
        <f t="shared" si="29"/>
        <v>13.913979560825869</v>
      </c>
      <c r="AA50" s="33">
        <f t="shared" si="30"/>
        <v>10.27939408267121</v>
      </c>
      <c r="AB50" s="39">
        <f t="shared" si="4"/>
        <v>684.7393586737295</v>
      </c>
      <c r="AC50" s="36">
        <f t="shared" si="31"/>
        <v>2556.1101864252259</v>
      </c>
      <c r="AD50" s="36">
        <f t="shared" si="32"/>
        <v>41.227825043434514</v>
      </c>
      <c r="AE50" s="37">
        <f t="shared" si="33"/>
        <v>22.939660459797341</v>
      </c>
      <c r="AF50" s="40">
        <f t="shared" si="5"/>
        <v>369.74152099530363</v>
      </c>
      <c r="AG50" s="32">
        <f t="shared" si="34"/>
        <v>684.70154007181145</v>
      </c>
      <c r="AH50" s="32">
        <f t="shared" si="35"/>
        <v>18.375461982525422</v>
      </c>
      <c r="AI50" s="33">
        <f t="shared" si="36"/>
        <v>13.78671750596876</v>
      </c>
      <c r="AJ50" s="33">
        <f t="shared" si="37"/>
        <v>10.266113795568685</v>
      </c>
      <c r="AK50" s="39">
        <f t="shared" si="6"/>
        <v>896.42787602728015</v>
      </c>
      <c r="AL50" s="36">
        <f t="shared" si="38"/>
        <v>607.77392959089832</v>
      </c>
      <c r="AM50" s="36">
        <f t="shared" si="39"/>
        <v>11.562000210470593</v>
      </c>
      <c r="AN50" s="37">
        <f t="shared" si="40"/>
        <v>19.449432456452151</v>
      </c>
      <c r="AO50" s="40">
        <f t="shared" si="7"/>
        <v>1431.8439905541873</v>
      </c>
      <c r="AP50" s="32">
        <f t="shared" si="56"/>
        <v>915.46383330198887</v>
      </c>
      <c r="AQ50" s="32">
        <f t="shared" si="41"/>
        <v>24.203050636078238</v>
      </c>
      <c r="AR50" s="33">
        <f t="shared" si="42"/>
        <v>13.994871685237559</v>
      </c>
      <c r="AS50" s="33">
        <f t="shared" si="43"/>
        <v>10.288302502147232</v>
      </c>
      <c r="AT50" s="39">
        <f t="shared" si="8"/>
        <v>671.91311418159478</v>
      </c>
      <c r="AU50" s="36">
        <f t="shared" si="44"/>
        <v>2868.0628226769513</v>
      </c>
      <c r="AV50" s="36">
        <f t="shared" si="45"/>
        <v>43.422692776046887</v>
      </c>
      <c r="AW50" s="37">
        <f t="shared" si="46"/>
        <v>24.438229943119378</v>
      </c>
      <c r="AX50" s="40">
        <f t="shared" si="9"/>
        <v>340.11870372790617</v>
      </c>
      <c r="AY50" s="2">
        <f t="shared" si="57"/>
        <v>17.545692986703703</v>
      </c>
      <c r="AZ50" s="2">
        <f t="shared" si="47"/>
        <v>784.5560102736614</v>
      </c>
      <c r="BA50" s="2">
        <f t="shared" si="48"/>
        <v>880.10030273818143</v>
      </c>
      <c r="BB50" s="44">
        <f t="shared" si="60"/>
        <v>880.10030273818143</v>
      </c>
      <c r="BC50">
        <f t="shared" si="49"/>
        <v>168</v>
      </c>
      <c r="BD50" s="2">
        <f t="shared" si="50"/>
        <v>58.729633317169203</v>
      </c>
      <c r="BE50" s="2">
        <f t="shared" si="51"/>
        <v>704.08024219054516</v>
      </c>
      <c r="BF50" s="2">
        <f t="shared" si="10"/>
        <v>28.04155041394738</v>
      </c>
      <c r="BG50" s="24">
        <f t="shared" si="61"/>
        <v>0.47746850831690152</v>
      </c>
    </row>
    <row r="51" spans="1:59" x14ac:dyDescent="0.25">
      <c r="A51">
        <f t="shared" si="12"/>
        <v>174</v>
      </c>
      <c r="B51">
        <v>2.9</v>
      </c>
      <c r="C51" s="2">
        <f t="shared" si="58"/>
        <v>880.10030273818143</v>
      </c>
      <c r="D51" s="2">
        <f t="shared" si="13"/>
        <v>23.717842253143132</v>
      </c>
      <c r="E51" s="2">
        <f t="shared" si="14"/>
        <v>889.75839775976021</v>
      </c>
      <c r="F51" s="25">
        <f t="shared" si="15"/>
        <v>53.345298188844602</v>
      </c>
      <c r="G51">
        <f t="shared" si="16"/>
        <v>5.967612758383544E-5</v>
      </c>
      <c r="H51">
        <f t="shared" si="17"/>
        <v>1.0404215341111372E-4</v>
      </c>
      <c r="I51" s="51">
        <f t="shared" si="59"/>
        <v>5.773610285693753E-5</v>
      </c>
      <c r="J51" s="28">
        <f t="shared" si="52"/>
        <v>0.12226799528750425</v>
      </c>
      <c r="K51" s="24">
        <f t="shared" si="53"/>
        <v>14.132692231966443</v>
      </c>
      <c r="L51" s="33">
        <f t="shared" si="54"/>
        <v>10.30437128468315</v>
      </c>
      <c r="M51" s="39">
        <f t="shared" si="55"/>
        <v>693.74016875771304</v>
      </c>
      <c r="N51" s="40">
        <f t="shared" si="18"/>
        <v>417.6683010616066</v>
      </c>
      <c r="O51" s="32">
        <f t="shared" si="19"/>
        <v>690.57257946769755</v>
      </c>
      <c r="P51" s="32">
        <f t="shared" si="20"/>
        <v>18.602813180778121</v>
      </c>
      <c r="Q51" s="33">
        <f t="shared" si="21"/>
        <v>13.984878164282355</v>
      </c>
      <c r="R51" s="33">
        <f t="shared" si="22"/>
        <v>10.287181552756625</v>
      </c>
      <c r="S51" s="39">
        <f t="shared" si="23"/>
        <v>892.34853151579421</v>
      </c>
      <c r="T51" s="36">
        <f t="shared" si="24"/>
        <v>609.40014334654859</v>
      </c>
      <c r="U51" s="36">
        <f t="shared" si="25"/>
        <v>12.455306985195893</v>
      </c>
      <c r="V51" s="37">
        <f t="shared" si="26"/>
        <v>18.432154328205719</v>
      </c>
      <c r="W51" s="40">
        <f t="shared" si="3"/>
        <v>1392.8573918539028</v>
      </c>
      <c r="X51" s="32">
        <f t="shared" si="27"/>
        <v>908.89989810212387</v>
      </c>
      <c r="Y51" s="32">
        <f t="shared" si="28"/>
        <v>24.081264678507118</v>
      </c>
      <c r="Z51" s="33">
        <f t="shared" si="29"/>
        <v>14.218858936355575</v>
      </c>
      <c r="AA51" s="33">
        <f t="shared" si="30"/>
        <v>10.315019143524097</v>
      </c>
      <c r="AB51" s="39">
        <f t="shared" si="4"/>
        <v>679.83171670284776</v>
      </c>
      <c r="AC51" s="36">
        <f t="shared" si="31"/>
        <v>2636.2132533443378</v>
      </c>
      <c r="AD51" s="36">
        <f t="shared" si="32"/>
        <v>41.806438785276363</v>
      </c>
      <c r="AE51" s="37">
        <f t="shared" si="33"/>
        <v>23.755564044835239</v>
      </c>
      <c r="AF51" s="40">
        <f t="shared" si="5"/>
        <v>365.53022233551297</v>
      </c>
      <c r="AG51" s="32">
        <f t="shared" si="34"/>
        <v>681.6225499231258</v>
      </c>
      <c r="AH51" s="32">
        <f t="shared" si="35"/>
        <v>18.252264484015548</v>
      </c>
      <c r="AI51" s="33">
        <f t="shared" si="36"/>
        <v>14.068739180499103</v>
      </c>
      <c r="AJ51" s="33">
        <f t="shared" si="37"/>
        <v>10.296771375375986</v>
      </c>
      <c r="AK51" s="39">
        <f t="shared" si="6"/>
        <v>904.90827351111147</v>
      </c>
      <c r="AL51" s="36">
        <f t="shared" si="38"/>
        <v>607.68406707290058</v>
      </c>
      <c r="AM51" s="36">
        <f t="shared" si="39"/>
        <v>11.485965029870012</v>
      </c>
      <c r="AN51" s="37">
        <f t="shared" si="40"/>
        <v>19.931424643593672</v>
      </c>
      <c r="AO51" s="40">
        <f t="shared" si="7"/>
        <v>1452.4877478151038</v>
      </c>
      <c r="AP51" s="32">
        <f t="shared" si="56"/>
        <v>929.41570266111614</v>
      </c>
      <c r="AQ51" s="32">
        <f t="shared" si="41"/>
        <v>24.457419860730354</v>
      </c>
      <c r="AR51" s="33">
        <f t="shared" si="42"/>
        <v>14.316186537499478</v>
      </c>
      <c r="AS51" s="33">
        <f t="shared" si="43"/>
        <v>10.327633015830735</v>
      </c>
      <c r="AT51" s="39">
        <f t="shared" si="8"/>
        <v>665.63818868768521</v>
      </c>
      <c r="AU51" s="36">
        <f t="shared" si="44"/>
        <v>2997.7031360803144</v>
      </c>
      <c r="AV51" s="36">
        <f t="shared" si="45"/>
        <v>44.292301048137837</v>
      </c>
      <c r="AW51" s="37">
        <f t="shared" si="46"/>
        <v>25.496957565673682</v>
      </c>
      <c r="AX51" s="40">
        <f t="shared" si="9"/>
        <v>333.02490622869607</v>
      </c>
      <c r="AY51" s="2">
        <f t="shared" si="57"/>
        <v>18.025595425118102</v>
      </c>
      <c r="AZ51" s="2">
        <f t="shared" si="47"/>
        <v>785.68167760435961</v>
      </c>
      <c r="BA51" s="2">
        <f t="shared" si="48"/>
        <v>885.97506705830392</v>
      </c>
      <c r="BB51" s="44">
        <f t="shared" si="60"/>
        <v>885.97506705830392</v>
      </c>
      <c r="BC51">
        <f t="shared" si="49"/>
        <v>174</v>
      </c>
      <c r="BD51" s="2">
        <f t="shared" si="50"/>
        <v>57.736102856937528</v>
      </c>
      <c r="BE51" s="2">
        <f t="shared" si="51"/>
        <v>708.78005364664318</v>
      </c>
      <c r="BF51" s="2">
        <f t="shared" si="10"/>
        <v>27.197729617497099</v>
      </c>
      <c r="BG51" s="24">
        <f t="shared" si="61"/>
        <v>0.47106971672281894</v>
      </c>
    </row>
    <row r="52" spans="1:59" x14ac:dyDescent="0.25">
      <c r="A52">
        <f t="shared" si="12"/>
        <v>180</v>
      </c>
      <c r="B52">
        <v>3</v>
      </c>
      <c r="C52" s="2">
        <f t="shared" si="58"/>
        <v>885.97506705830392</v>
      </c>
      <c r="D52" s="2">
        <f t="shared" si="13"/>
        <v>23.891735536340967</v>
      </c>
      <c r="E52" s="2">
        <f t="shared" si="14"/>
        <v>898.83402948252944</v>
      </c>
      <c r="F52" s="25">
        <f t="shared" si="15"/>
        <v>55.341928887198499</v>
      </c>
      <c r="G52">
        <f t="shared" si="16"/>
        <v>5.8589738727097984E-5</v>
      </c>
      <c r="H52">
        <f t="shared" si="17"/>
        <v>1.0214809224003634E-4</v>
      </c>
      <c r="I52" s="51">
        <f t="shared" si="59"/>
        <v>5.6789072271398841E-5</v>
      </c>
      <c r="J52" s="28">
        <f t="shared" si="52"/>
        <v>0.12048404332615392</v>
      </c>
      <c r="K52" s="24">
        <f t="shared" si="53"/>
        <v>14.421165278377702</v>
      </c>
      <c r="L52" s="33">
        <f t="shared" si="54"/>
        <v>10.341968634225786</v>
      </c>
      <c r="M52" s="39">
        <f t="shared" si="55"/>
        <v>690.51097033562178</v>
      </c>
      <c r="N52" s="40">
        <f t="shared" si="18"/>
        <v>418.41887326509107</v>
      </c>
      <c r="O52" s="32">
        <f t="shared" si="19"/>
        <v>688.43254471698106</v>
      </c>
      <c r="P52" s="32">
        <f t="shared" si="20"/>
        <v>18.521038210418837</v>
      </c>
      <c r="Q52" s="33">
        <f t="shared" si="21"/>
        <v>14.248351219262613</v>
      </c>
      <c r="R52" s="33">
        <f t="shared" si="22"/>
        <v>10.31877445090047</v>
      </c>
      <c r="S52" s="39">
        <f t="shared" si="23"/>
        <v>899.52574900174454</v>
      </c>
      <c r="T52" s="36">
        <f t="shared" si="24"/>
        <v>609.43773987629606</v>
      </c>
      <c r="U52" s="36">
        <f t="shared" si="25"/>
        <v>12.469706094712793</v>
      </c>
      <c r="V52" s="37">
        <f t="shared" si="26"/>
        <v>18.734481329807402</v>
      </c>
      <c r="W52" s="40">
        <f t="shared" si="3"/>
        <v>1406.7343190444751</v>
      </c>
      <c r="X52" s="32">
        <f t="shared" si="27"/>
        <v>920.51226098091001</v>
      </c>
      <c r="Y52" s="32">
        <f t="shared" si="28"/>
        <v>24.295784474109205</v>
      </c>
      <c r="Z52" s="33">
        <f t="shared" si="29"/>
        <v>14.523363189034237</v>
      </c>
      <c r="AA52" s="33">
        <f t="shared" si="30"/>
        <v>10.356686399130989</v>
      </c>
      <c r="AB52" s="39">
        <f t="shared" si="4"/>
        <v>675.20884247018819</v>
      </c>
      <c r="AC52" s="36">
        <f t="shared" si="31"/>
        <v>2716.819557293019</v>
      </c>
      <c r="AD52" s="36">
        <f t="shared" si="32"/>
        <v>42.377827190045004</v>
      </c>
      <c r="AE52" s="37">
        <f t="shared" si="33"/>
        <v>24.574837570011567</v>
      </c>
      <c r="AF52" s="40">
        <f t="shared" si="5"/>
        <v>361.41412638431933</v>
      </c>
      <c r="AG52" s="32">
        <f t="shared" si="34"/>
        <v>678.7996749857225</v>
      </c>
      <c r="AH52" s="32">
        <f t="shared" si="35"/>
        <v>18.136709019696482</v>
      </c>
      <c r="AI52" s="33">
        <f t="shared" si="36"/>
        <v>14.346689102815885</v>
      </c>
      <c r="AJ52" s="33">
        <f t="shared" si="37"/>
        <v>10.331718735073242</v>
      </c>
      <c r="AK52" s="39">
        <f t="shared" si="6"/>
        <v>913.43536443085281</v>
      </c>
      <c r="AL52" s="36">
        <f t="shared" si="38"/>
        <v>607.60121751156203</v>
      </c>
      <c r="AM52" s="36">
        <f t="shared" si="39"/>
        <v>11.412032633495592</v>
      </c>
      <c r="AN52" s="37">
        <f t="shared" si="40"/>
        <v>20.409115211185014</v>
      </c>
      <c r="AO52" s="40">
        <f t="shared" si="7"/>
        <v>1472.6991755362578</v>
      </c>
      <c r="AP52" s="32">
        <f t="shared" si="56"/>
        <v>943.86674027314132</v>
      </c>
      <c r="AQ52" s="32">
        <f t="shared" si="41"/>
        <v>24.714813926631734</v>
      </c>
      <c r="AR52" s="33">
        <f t="shared" si="42"/>
        <v>14.63935304702945</v>
      </c>
      <c r="AS52" s="33">
        <f t="shared" si="43"/>
        <v>10.37434414300613</v>
      </c>
      <c r="AT52" s="39">
        <f t="shared" si="8"/>
        <v>659.62459485110355</v>
      </c>
      <c r="AU52" s="36">
        <f t="shared" si="44"/>
        <v>3129.3521457632901</v>
      </c>
      <c r="AV52" s="36">
        <f t="shared" si="45"/>
        <v>45.152945953967993</v>
      </c>
      <c r="AW52" s="37">
        <f t="shared" si="46"/>
        <v>26.566656051848177</v>
      </c>
      <c r="AX52" s="40">
        <f t="shared" si="9"/>
        <v>326.23804057365265</v>
      </c>
      <c r="AY52" s="2">
        <f t="shared" si="57"/>
        <v>18.505355840124295</v>
      </c>
      <c r="AZ52" s="2">
        <f t="shared" si="47"/>
        <v>786.94863768847222</v>
      </c>
      <c r="BA52" s="2">
        <f t="shared" si="48"/>
        <v>891.77141538467617</v>
      </c>
      <c r="BB52" s="44">
        <f t="shared" si="60"/>
        <v>891.77141538467617</v>
      </c>
      <c r="BC52">
        <f t="shared" si="49"/>
        <v>180</v>
      </c>
      <c r="BD52" s="2">
        <f t="shared" si="50"/>
        <v>56.789072271398844</v>
      </c>
      <c r="BE52" s="2">
        <f t="shared" si="51"/>
        <v>713.41713230774099</v>
      </c>
      <c r="BF52" s="2">
        <f t="shared" si="10"/>
        <v>26.402560673610154</v>
      </c>
      <c r="BG52" s="24">
        <f t="shared" si="61"/>
        <v>0.4649232610709067</v>
      </c>
    </row>
    <row r="53" spans="1:59" x14ac:dyDescent="0.25">
      <c r="A53">
        <f t="shared" si="12"/>
        <v>186</v>
      </c>
      <c r="B53">
        <v>3.1</v>
      </c>
      <c r="C53" s="2">
        <f t="shared" si="58"/>
        <v>891.77141538467617</v>
      </c>
      <c r="D53" s="2">
        <f t="shared" si="13"/>
        <v>24.064065380806035</v>
      </c>
      <c r="E53" s="2">
        <f t="shared" si="14"/>
        <v>907.97894896614173</v>
      </c>
      <c r="F53" s="25">
        <f t="shared" si="15"/>
        <v>57.354791387126198</v>
      </c>
      <c r="G53">
        <f t="shared" si="16"/>
        <v>5.7552455150518133E-5</v>
      </c>
      <c r="H53">
        <f t="shared" si="17"/>
        <v>1.003396435122978E-4</v>
      </c>
      <c r="I53" s="51">
        <f t="shared" si="59"/>
        <v>5.5884847907529571E-5</v>
      </c>
      <c r="J53" s="28">
        <f t="shared" si="52"/>
        <v>0.11877454313775331</v>
      </c>
      <c r="K53" s="24">
        <f t="shared" si="53"/>
        <v>14.707710273639952</v>
      </c>
      <c r="L53" s="33">
        <f t="shared" si="54"/>
        <v>10.385244462918365</v>
      </c>
      <c r="M53" s="39">
        <f t="shared" si="55"/>
        <v>687.62609987779558</v>
      </c>
      <c r="N53" s="40">
        <f t="shared" si="18"/>
        <v>419.03652902767993</v>
      </c>
      <c r="O53" s="32">
        <f t="shared" si="19"/>
        <v>686.55267754770011</v>
      </c>
      <c r="P53" s="32">
        <f t="shared" si="20"/>
        <v>18.448180417011216</v>
      </c>
      <c r="Q53" s="33">
        <f t="shared" si="21"/>
        <v>14.506365419698545</v>
      </c>
      <c r="R53" s="33">
        <f t="shared" si="22"/>
        <v>10.354184945933817</v>
      </c>
      <c r="S53" s="39">
        <f t="shared" si="23"/>
        <v>906.67879998853073</v>
      </c>
      <c r="T53" s="36">
        <f t="shared" si="24"/>
        <v>609.46903033641502</v>
      </c>
      <c r="U53" s="36">
        <f t="shared" si="25"/>
        <v>12.481564776838953</v>
      </c>
      <c r="V53" s="37">
        <f t="shared" si="26"/>
        <v>19.033597998235056</v>
      </c>
      <c r="W53" s="40">
        <f t="shared" si="3"/>
        <v>1420.345272572047</v>
      </c>
      <c r="X53" s="32">
        <f t="shared" si="27"/>
        <v>932.38120244740833</v>
      </c>
      <c r="Y53" s="32">
        <f t="shared" si="28"/>
        <v>24.510730014992163</v>
      </c>
      <c r="Z53" s="33">
        <f t="shared" si="29"/>
        <v>14.827760008360631</v>
      </c>
      <c r="AA53" s="33">
        <f t="shared" si="30"/>
        <v>10.405310580692863</v>
      </c>
      <c r="AB53" s="39">
        <f t="shared" si="4"/>
        <v>670.92341179496225</v>
      </c>
      <c r="AC53" s="36">
        <f t="shared" si="31"/>
        <v>2797.9334576552224</v>
      </c>
      <c r="AD53" s="36">
        <f t="shared" si="32"/>
        <v>42.942454341816443</v>
      </c>
      <c r="AE53" s="37">
        <f t="shared" si="33"/>
        <v>25.397373408853205</v>
      </c>
      <c r="AF53" s="40">
        <f t="shared" si="5"/>
        <v>357.38979437186913</v>
      </c>
      <c r="AG53" s="32">
        <f t="shared" si="34"/>
        <v>676.24906614221038</v>
      </c>
      <c r="AH53" s="32">
        <f t="shared" si="35"/>
        <v>18.030016018165966</v>
      </c>
      <c r="AI53" s="33">
        <f t="shared" si="36"/>
        <v>14.620049771001471</v>
      </c>
      <c r="AJ53" s="33">
        <f t="shared" si="37"/>
        <v>10.371333210060257</v>
      </c>
      <c r="AK53" s="39">
        <f t="shared" si="6"/>
        <v>922.01782554665488</v>
      </c>
      <c r="AL53" s="36">
        <f t="shared" si="38"/>
        <v>607.52428413045527</v>
      </c>
      <c r="AM53" s="36">
        <f t="shared" si="39"/>
        <v>11.340115390088824</v>
      </c>
      <c r="AN53" s="37">
        <f t="shared" si="40"/>
        <v>20.882594429579697</v>
      </c>
      <c r="AO53" s="40">
        <f t="shared" si="7"/>
        <v>1492.4978379591205</v>
      </c>
      <c r="AP53" s="32">
        <f t="shared" si="56"/>
        <v>958.84568270588693</v>
      </c>
      <c r="AQ53" s="32">
        <f t="shared" si="41"/>
        <v>24.975523997876905</v>
      </c>
      <c r="AR53" s="33">
        <f t="shared" si="42"/>
        <v>14.964850884282567</v>
      </c>
      <c r="AS53" s="33">
        <f t="shared" si="43"/>
        <v>10.429723880264536</v>
      </c>
      <c r="AT53" s="39">
        <f t="shared" si="8"/>
        <v>653.93638492360958</v>
      </c>
      <c r="AU53" s="36">
        <f t="shared" si="44"/>
        <v>3262.9262211069622</v>
      </c>
      <c r="AV53" s="36">
        <f t="shared" si="45"/>
        <v>46.00488648746024</v>
      </c>
      <c r="AW53" s="37">
        <f t="shared" si="46"/>
        <v>27.646590241170358</v>
      </c>
      <c r="AX53" s="40">
        <f t="shared" si="9"/>
        <v>319.74124376960157</v>
      </c>
      <c r="AY53" s="2">
        <f t="shared" si="57"/>
        <v>18.98489777014769</v>
      </c>
      <c r="AZ53" s="2">
        <f t="shared" si="47"/>
        <v>788.38910556343944</v>
      </c>
      <c r="BA53" s="2">
        <f t="shared" si="48"/>
        <v>897.49353716815949</v>
      </c>
      <c r="BB53" s="44">
        <f t="shared" si="60"/>
        <v>897.49353716815949</v>
      </c>
      <c r="BC53">
        <f t="shared" si="49"/>
        <v>186</v>
      </c>
      <c r="BD53" s="2">
        <f t="shared" si="50"/>
        <v>55.884847907529569</v>
      </c>
      <c r="BE53" s="2">
        <f t="shared" si="51"/>
        <v>717.99482973452768</v>
      </c>
      <c r="BF53" s="2">
        <f t="shared" si="10"/>
        <v>25.651923586181233</v>
      </c>
      <c r="BG53" s="24">
        <f t="shared" si="61"/>
        <v>0.45901392858089995</v>
      </c>
    </row>
    <row r="54" spans="1:59" x14ac:dyDescent="0.25">
      <c r="A54">
        <f t="shared" si="12"/>
        <v>192</v>
      </c>
      <c r="B54">
        <v>3.2</v>
      </c>
      <c r="C54" s="2">
        <f t="shared" si="58"/>
        <v>897.49353716815949</v>
      </c>
      <c r="D54" s="2">
        <f t="shared" si="13"/>
        <v>24.234926606687807</v>
      </c>
      <c r="E54" s="2">
        <f t="shared" si="14"/>
        <v>917.19425278916174</v>
      </c>
      <c r="F54" s="25">
        <f t="shared" si="15"/>
        <v>59.384188210888432</v>
      </c>
      <c r="G54">
        <f t="shared" si="16"/>
        <v>5.6560507203869068E-5</v>
      </c>
      <c r="H54">
        <f t="shared" si="17"/>
        <v>9.8610235043289566E-5</v>
      </c>
      <c r="I54" s="51">
        <f t="shared" si="59"/>
        <v>5.5020143673025454E-5</v>
      </c>
      <c r="J54" s="28">
        <f t="shared" si="52"/>
        <v>0.11713398558652838</v>
      </c>
      <c r="K54" s="24">
        <f t="shared" si="53"/>
        <v>14.992492230794298</v>
      </c>
      <c r="L54" s="33">
        <f t="shared" si="54"/>
        <v>10.434846712937958</v>
      </c>
      <c r="M54" s="39">
        <f t="shared" si="55"/>
        <v>685.12223547398855</v>
      </c>
      <c r="N54" s="40">
        <f t="shared" si="18"/>
        <v>419.52961864646005</v>
      </c>
      <c r="O54" s="32">
        <f t="shared" si="19"/>
        <v>684.94534737066692</v>
      </c>
      <c r="P54" s="32">
        <f t="shared" si="20"/>
        <v>18.385096100812376</v>
      </c>
      <c r="Q54" s="33">
        <f t="shared" si="21"/>
        <v>14.758568393648067</v>
      </c>
      <c r="R54" s="33">
        <f t="shared" si="22"/>
        <v>10.39359952604525</v>
      </c>
      <c r="S54" s="39">
        <f t="shared" si="23"/>
        <v>913.8046692142492</v>
      </c>
      <c r="T54" s="36">
        <f t="shared" si="24"/>
        <v>609.49424000025795</v>
      </c>
      <c r="U54" s="36">
        <f t="shared" si="25"/>
        <v>12.491037985430653</v>
      </c>
      <c r="V54" s="37">
        <f t="shared" si="26"/>
        <v>19.329707985919978</v>
      </c>
      <c r="W54" s="40">
        <f t="shared" si="3"/>
        <v>1433.7058997094703</v>
      </c>
      <c r="X54" s="32">
        <f t="shared" si="27"/>
        <v>944.50227453916887</v>
      </c>
      <c r="Y54" s="32">
        <f t="shared" si="28"/>
        <v>24.725998354634875</v>
      </c>
      <c r="Z54" s="33">
        <f t="shared" si="29"/>
        <v>15.132245853737333</v>
      </c>
      <c r="AA54" s="33">
        <f t="shared" si="30"/>
        <v>10.461814851603329</v>
      </c>
      <c r="AB54" s="39">
        <f t="shared" si="4"/>
        <v>667.03302332980434</v>
      </c>
      <c r="AC54" s="36">
        <f t="shared" si="31"/>
        <v>2879.5576728229998</v>
      </c>
      <c r="AD54" s="36">
        <f t="shared" si="32"/>
        <v>43.500733131998508</v>
      </c>
      <c r="AE54" s="37">
        <f t="shared" si="33"/>
        <v>26.223063184422241</v>
      </c>
      <c r="AF54" s="40">
        <f t="shared" si="5"/>
        <v>353.45404892391844</v>
      </c>
      <c r="AG54" s="32">
        <f t="shared" si="34"/>
        <v>673.98804917580219</v>
      </c>
      <c r="AH54" s="32">
        <f t="shared" si="35"/>
        <v>17.933514496278669</v>
      </c>
      <c r="AI54" s="33">
        <f t="shared" si="36"/>
        <v>14.888159206729849</v>
      </c>
      <c r="AJ54" s="33">
        <f t="shared" si="37"/>
        <v>10.415865191609956</v>
      </c>
      <c r="AK54" s="39">
        <f t="shared" si="6"/>
        <v>930.65018533018156</v>
      </c>
      <c r="AL54" s="36">
        <f t="shared" si="38"/>
        <v>607.45228871354982</v>
      </c>
      <c r="AM54" s="36">
        <f t="shared" si="39"/>
        <v>11.270132125080851</v>
      </c>
      <c r="AN54" s="37">
        <f t="shared" si="40"/>
        <v>21.351942032788969</v>
      </c>
      <c r="AO54" s="40">
        <f t="shared" si="7"/>
        <v>1511.9016800601789</v>
      </c>
      <c r="AP54" s="32">
        <f t="shared" si="56"/>
        <v>974.35753217399713</v>
      </c>
      <c r="AQ54" s="32">
        <f t="shared" si="41"/>
        <v>25.239414215439517</v>
      </c>
      <c r="AR54" s="33">
        <f t="shared" si="42"/>
        <v>15.293021258372139</v>
      </c>
      <c r="AS54" s="33">
        <f t="shared" si="43"/>
        <v>10.495127464607364</v>
      </c>
      <c r="AT54" s="39">
        <f t="shared" si="8"/>
        <v>648.65337850833714</v>
      </c>
      <c r="AU54" s="36">
        <f t="shared" si="44"/>
        <v>3398.3442556408909</v>
      </c>
      <c r="AV54" s="36">
        <f t="shared" si="45"/>
        <v>46.848357428081421</v>
      </c>
      <c r="AW54" s="37">
        <f t="shared" si="46"/>
        <v>28.736059834672904</v>
      </c>
      <c r="AX54" s="40">
        <f t="shared" si="9"/>
        <v>313.51857020663272</v>
      </c>
      <c r="AY54" s="2">
        <f t="shared" si="57"/>
        <v>19.464095968786435</v>
      </c>
      <c r="AZ54" s="2">
        <f t="shared" si="47"/>
        <v>790.035314095643</v>
      </c>
      <c r="BA54" s="2">
        <f t="shared" si="48"/>
        <v>903.14504972505006</v>
      </c>
      <c r="BB54" s="44">
        <f t="shared" si="60"/>
        <v>903.14504972505006</v>
      </c>
      <c r="BC54">
        <f t="shared" si="49"/>
        <v>192</v>
      </c>
      <c r="BD54" s="2">
        <f t="shared" si="50"/>
        <v>55.020143673025451</v>
      </c>
      <c r="BE54" s="2">
        <f t="shared" si="51"/>
        <v>722.51603978004005</v>
      </c>
      <c r="BF54" s="2">
        <f t="shared" si="10"/>
        <v>24.942190802483523</v>
      </c>
      <c r="BG54" s="24">
        <f t="shared" si="61"/>
        <v>0.45332834735420457</v>
      </c>
    </row>
    <row r="55" spans="1:59" x14ac:dyDescent="0.25">
      <c r="A55">
        <f t="shared" si="12"/>
        <v>198</v>
      </c>
      <c r="B55">
        <v>3.3</v>
      </c>
      <c r="C55" s="2">
        <f t="shared" si="58"/>
        <v>903.14504972505006</v>
      </c>
      <c r="D55" s="2">
        <f t="shared" si="13"/>
        <v>24.404399373740063</v>
      </c>
      <c r="E55" s="2">
        <f t="shared" si="14"/>
        <v>926.48057960183633</v>
      </c>
      <c r="F55" s="25">
        <f t="shared" si="15"/>
        <v>61.430403281697146</v>
      </c>
      <c r="G55">
        <f t="shared" si="16"/>
        <v>5.561052871223448E-5</v>
      </c>
      <c r="H55">
        <f t="shared" si="17"/>
        <v>9.6953998086140284E-5</v>
      </c>
      <c r="I55" s="51">
        <f t="shared" si="59"/>
        <v>5.4192025194450813E-5</v>
      </c>
      <c r="J55" s="28">
        <f t="shared" si="52"/>
        <v>0.11555743778552763</v>
      </c>
      <c r="K55" s="24">
        <f t="shared" si="53"/>
        <v>15.275661847362747</v>
      </c>
      <c r="L55" s="33">
        <f t="shared" si="54"/>
        <v>10.491408997533572</v>
      </c>
      <c r="M55" s="39">
        <f t="shared" si="55"/>
        <v>683.0337024143505</v>
      </c>
      <c r="N55" s="40">
        <f t="shared" si="18"/>
        <v>419.90597597573878</v>
      </c>
      <c r="O55" s="32">
        <f t="shared" si="19"/>
        <v>683.62175922445863</v>
      </c>
      <c r="P55" s="32">
        <f t="shared" si="20"/>
        <v>18.332583390408104</v>
      </c>
      <c r="Q55" s="33">
        <f t="shared" si="21"/>
        <v>15.004587055047562</v>
      </c>
      <c r="R55" s="33">
        <f t="shared" si="22"/>
        <v>10.437109876570791</v>
      </c>
      <c r="S55" s="39">
        <f t="shared" si="23"/>
        <v>920.89266462377361</v>
      </c>
      <c r="T55" s="36">
        <f t="shared" si="24"/>
        <v>609.5136197014391</v>
      </c>
      <c r="U55" s="36">
        <f t="shared" si="25"/>
        <v>12.498272205075299</v>
      </c>
      <c r="V55" s="37">
        <f t="shared" si="26"/>
        <v>19.622994157298443</v>
      </c>
      <c r="W55" s="40">
        <f t="shared" si="3"/>
        <v>1446.8302363663915</v>
      </c>
      <c r="X55" s="32">
        <f t="shared" si="27"/>
        <v>956.85691058506836</v>
      </c>
      <c r="Y55" s="32">
        <f t="shared" si="28"/>
        <v>24.941250923893648</v>
      </c>
      <c r="Z55" s="33">
        <f t="shared" si="29"/>
        <v>15.436918287849002</v>
      </c>
      <c r="AA55" s="33">
        <f t="shared" si="30"/>
        <v>10.527121528636311</v>
      </c>
      <c r="AB55" s="39">
        <f t="shared" si="4"/>
        <v>663.60137083476468</v>
      </c>
      <c r="AC55" s="36">
        <f t="shared" si="31"/>
        <v>2961.6933812577181</v>
      </c>
      <c r="AD55" s="36">
        <f t="shared" si="32"/>
        <v>44.053031529195088</v>
      </c>
      <c r="AE55" s="37">
        <f t="shared" si="33"/>
        <v>27.051797889328959</v>
      </c>
      <c r="AF55" s="40">
        <f t="shared" si="5"/>
        <v>349.60394579298276</v>
      </c>
      <c r="AG55" s="32">
        <f t="shared" si="34"/>
        <v>672.0361715551478</v>
      </c>
      <c r="AH55" s="32">
        <f t="shared" si="35"/>
        <v>17.848673390583713</v>
      </c>
      <c r="AI55" s="33">
        <f t="shared" si="36"/>
        <v>15.150206267478822</v>
      </c>
      <c r="AJ55" s="33">
        <f t="shared" si="37"/>
        <v>10.465412654124815</v>
      </c>
      <c r="AK55" s="39">
        <f t="shared" si="6"/>
        <v>939.30869806069302</v>
      </c>
      <c r="AL55" s="36">
        <f t="shared" si="38"/>
        <v>607.38435892346979</v>
      </c>
      <c r="AM55" s="36">
        <f t="shared" si="39"/>
        <v>11.202007439524147</v>
      </c>
      <c r="AN55" s="37">
        <f t="shared" si="40"/>
        <v>21.81722881318581</v>
      </c>
      <c r="AO55" s="40">
        <f t="shared" si="7"/>
        <v>1530.9272120057215</v>
      </c>
      <c r="AP55" s="32">
        <f t="shared" si="56"/>
        <v>990.37214601720257</v>
      </c>
      <c r="AQ55" s="32">
        <f t="shared" si="41"/>
        <v>25.505780713783714</v>
      </c>
      <c r="AR55" s="33">
        <f t="shared" si="42"/>
        <v>15.623978588090395</v>
      </c>
      <c r="AS55" s="33">
        <f t="shared" si="43"/>
        <v>10.571949433920022</v>
      </c>
      <c r="AT55" s="39">
        <f t="shared" si="8"/>
        <v>643.87460351081245</v>
      </c>
      <c r="AU55" s="36">
        <f t="shared" si="44"/>
        <v>3535.5275035011537</v>
      </c>
      <c r="AV55" s="36">
        <f t="shared" si="45"/>
        <v>47.683572260643835</v>
      </c>
      <c r="AW55" s="37">
        <f t="shared" si="46"/>
        <v>29.834397770127303</v>
      </c>
      <c r="AX55" s="40">
        <f t="shared" si="9"/>
        <v>307.55498538530395</v>
      </c>
      <c r="AY55" s="2">
        <f t="shared" si="57"/>
        <v>19.942763603550784</v>
      </c>
      <c r="AZ55" s="2">
        <f t="shared" si="47"/>
        <v>791.91933425751097</v>
      </c>
      <c r="BA55" s="2">
        <f t="shared" si="48"/>
        <v>908.7290948875999</v>
      </c>
      <c r="BB55" s="44">
        <f t="shared" si="60"/>
        <v>908.7290948875999</v>
      </c>
      <c r="BC55">
        <f t="shared" si="49"/>
        <v>198</v>
      </c>
      <c r="BD55" s="2">
        <f t="shared" si="50"/>
        <v>54.192025194450814</v>
      </c>
      <c r="BE55" s="2">
        <f t="shared" si="51"/>
        <v>726.98327591008001</v>
      </c>
      <c r="BF55" s="2">
        <f t="shared" si="10"/>
        <v>24.270163734705463</v>
      </c>
      <c r="BG55" s="24">
        <f t="shared" si="61"/>
        <v>0.44785489465691147</v>
      </c>
    </row>
    <row r="56" spans="1:59" x14ac:dyDescent="0.25">
      <c r="A56">
        <f t="shared" si="12"/>
        <v>204</v>
      </c>
      <c r="B56">
        <v>3.4</v>
      </c>
      <c r="C56" s="2">
        <f t="shared" si="58"/>
        <v>908.7290948875999</v>
      </c>
      <c r="D56" s="2">
        <f t="shared" si="13"/>
        <v>24.572551672222879</v>
      </c>
      <c r="E56" s="2">
        <f t="shared" si="14"/>
        <v>935.83818183486176</v>
      </c>
      <c r="F56" s="25">
        <f t="shared" si="15"/>
        <v>63.493702106339136</v>
      </c>
      <c r="G56">
        <f t="shared" si="16"/>
        <v>5.4699503243073521E-5</v>
      </c>
      <c r="H56">
        <f t="shared" si="17"/>
        <v>9.5365673651202399E-5</v>
      </c>
      <c r="I56" s="51">
        <f t="shared" si="59"/>
        <v>5.3397862976981871E-5</v>
      </c>
      <c r="J56" s="28">
        <f t="shared" si="52"/>
        <v>0.11404046785584726</v>
      </c>
      <c r="K56" s="24">
        <f t="shared" si="53"/>
        <v>15.557356902389545</v>
      </c>
      <c r="L56" s="33">
        <f t="shared" si="54"/>
        <v>10.555553232782188</v>
      </c>
      <c r="M56" s="39">
        <f t="shared" si="55"/>
        <v>681.39268482688431</v>
      </c>
      <c r="N56" s="40">
        <f t="shared" si="18"/>
        <v>420.17295608999871</v>
      </c>
      <c r="O56" s="32">
        <f t="shared" si="19"/>
        <v>682.59264158627229</v>
      </c>
      <c r="P56" s="32">
        <f t="shared" si="20"/>
        <v>18.291391263478609</v>
      </c>
      <c r="Q56" s="33">
        <f t="shared" si="21"/>
        <v>15.244043321751617</v>
      </c>
      <c r="R56" s="33">
        <f t="shared" si="22"/>
        <v>10.484712713935682</v>
      </c>
      <c r="S56" s="39">
        <f t="shared" si="23"/>
        <v>927.92347040706682</v>
      </c>
      <c r="T56" s="36">
        <f t="shared" si="24"/>
        <v>609.52744007469823</v>
      </c>
      <c r="U56" s="36">
        <f t="shared" si="25"/>
        <v>12.503405934733157</v>
      </c>
      <c r="V56" s="37">
        <f t="shared" si="26"/>
        <v>19.91362122866494</v>
      </c>
      <c r="W56" s="40">
        <f t="shared" si="3"/>
        <v>1459.7309087204328</v>
      </c>
      <c r="X56" s="32">
        <f t="shared" si="27"/>
        <v>969.40907515989068</v>
      </c>
      <c r="Y56" s="32">
        <f t="shared" si="28"/>
        <v>25.155878509039098</v>
      </c>
      <c r="Z56" s="33">
        <f t="shared" si="29"/>
        <v>15.74174613033461</v>
      </c>
      <c r="AA56" s="33">
        <f t="shared" si="30"/>
        <v>10.602133603887772</v>
      </c>
      <c r="AB56" s="39">
        <f t="shared" si="4"/>
        <v>660.69864857170273</v>
      </c>
      <c r="AC56" s="36">
        <f t="shared" si="31"/>
        <v>3044.3403215706662</v>
      </c>
      <c r="AD56" s="36">
        <f t="shared" si="32"/>
        <v>44.599677973420995</v>
      </c>
      <c r="AE56" s="37">
        <f t="shared" si="33"/>
        <v>27.883468036295682</v>
      </c>
      <c r="AF56" s="40">
        <f t="shared" si="5"/>
        <v>345.83674822842084</v>
      </c>
      <c r="AG56" s="32">
        <f t="shared" si="34"/>
        <v>670.41594372055874</v>
      </c>
      <c r="AH56" s="32">
        <f t="shared" si="35"/>
        <v>17.777115016288235</v>
      </c>
      <c r="AI56" s="33">
        <f t="shared" si="36"/>
        <v>15.405236271855131</v>
      </c>
      <c r="AJ56" s="33">
        <f t="shared" si="37"/>
        <v>10.51989556381627</v>
      </c>
      <c r="AK56" s="39">
        <f t="shared" si="6"/>
        <v>947.94757767102158</v>
      </c>
      <c r="AL56" s="36">
        <f t="shared" si="38"/>
        <v>607.31971723343145</v>
      </c>
      <c r="AM56" s="36">
        <f t="shared" si="39"/>
        <v>11.135671099565425</v>
      </c>
      <c r="AN56" s="37">
        <f t="shared" si="40"/>
        <v>22.278518004780633</v>
      </c>
      <c r="AO56" s="40">
        <f t="shared" si="7"/>
        <v>1549.5896687536217</v>
      </c>
      <c r="AP56" s="32">
        <f t="shared" si="56"/>
        <v>1006.8119796015732</v>
      </c>
      <c r="AQ56" s="32">
        <f t="shared" si="41"/>
        <v>25.773216844867839</v>
      </c>
      <c r="AR56" s="33">
        <f t="shared" si="42"/>
        <v>15.957507542527189</v>
      </c>
      <c r="AS56" s="33">
        <f t="shared" si="43"/>
        <v>10.661564078257392</v>
      </c>
      <c r="AT56" s="39">
        <f t="shared" si="8"/>
        <v>639.71977215682773</v>
      </c>
      <c r="AU56" s="36">
        <f t="shared" si="44"/>
        <v>3674.3994443294423</v>
      </c>
      <c r="AV56" s="36">
        <f t="shared" si="45"/>
        <v>48.510725732049707</v>
      </c>
      <c r="AW56" s="37">
        <f t="shared" si="46"/>
        <v>30.940968712379323</v>
      </c>
      <c r="AX56" s="40">
        <f t="shared" si="9"/>
        <v>301.83634353947014</v>
      </c>
      <c r="AY56" s="2">
        <f t="shared" si="57"/>
        <v>20.420638656073638</v>
      </c>
      <c r="AZ56" s="2">
        <f t="shared" si="47"/>
        <v>794.07236720165474</v>
      </c>
      <c r="BA56" s="2">
        <f t="shared" si="48"/>
        <v>914.24841731048627</v>
      </c>
      <c r="BB56" s="44">
        <f t="shared" si="60"/>
        <v>914.24841731048627</v>
      </c>
      <c r="BC56">
        <f t="shared" si="49"/>
        <v>204</v>
      </c>
      <c r="BD56" s="2">
        <f t="shared" si="50"/>
        <v>53.39786297698187</v>
      </c>
      <c r="BE56" s="2">
        <f t="shared" si="51"/>
        <v>731.39873384838904</v>
      </c>
      <c r="BF56" s="2">
        <f t="shared" si="10"/>
        <v>23.633019427327397</v>
      </c>
      <c r="BG56" s="24">
        <f t="shared" si="61"/>
        <v>0.44258361870239721</v>
      </c>
    </row>
    <row r="57" spans="1:59" x14ac:dyDescent="0.25">
      <c r="A57">
        <f t="shared" si="12"/>
        <v>210</v>
      </c>
      <c r="B57">
        <v>3.5</v>
      </c>
      <c r="C57" s="2">
        <f t="shared" si="58"/>
        <v>914.24841731048627</v>
      </c>
      <c r="D57" s="2">
        <f t="shared" si="13"/>
        <v>24.739441345801943</v>
      </c>
      <c r="E57" s="2">
        <f t="shared" si="14"/>
        <v>945.26698503047817</v>
      </c>
      <c r="F57" s="25">
        <f t="shared" si="15"/>
        <v>65.574332045585393</v>
      </c>
      <c r="G57">
        <f t="shared" si="16"/>
        <v>5.3824718799522797E-5</v>
      </c>
      <c r="H57">
        <f t="shared" si="17"/>
        <v>9.38405335162347E-5</v>
      </c>
      <c r="I57" s="51">
        <f t="shared" si="59"/>
        <v>5.2635292909498021E-5</v>
      </c>
      <c r="J57" s="28">
        <f t="shared" si="52"/>
        <v>0.11257908127725105</v>
      </c>
      <c r="K57" s="24">
        <f t="shared" si="53"/>
        <v>15.837703488207557</v>
      </c>
      <c r="L57" s="33">
        <f t="shared" si="54"/>
        <v>10.627891862510548</v>
      </c>
      <c r="M57" s="39">
        <f t="shared" si="55"/>
        <v>680.22941219975996</v>
      </c>
      <c r="N57" s="40">
        <f t="shared" si="18"/>
        <v>420.33746959171037</v>
      </c>
      <c r="O57" s="32">
        <f t="shared" si="19"/>
        <v>681.86889029342137</v>
      </c>
      <c r="P57" s="32">
        <f t="shared" si="20"/>
        <v>18.262227823883912</v>
      </c>
      <c r="Q57" s="33">
        <f t="shared" si="21"/>
        <v>15.476570370362985</v>
      </c>
      <c r="R57" s="33">
        <f t="shared" si="22"/>
        <v>10.536312655092388</v>
      </c>
      <c r="S57" s="39">
        <f t="shared" si="23"/>
        <v>934.86853306826526</v>
      </c>
      <c r="T57" s="36">
        <f t="shared" si="24"/>
        <v>609.53598639851771</v>
      </c>
      <c r="U57" s="36">
        <f t="shared" si="25"/>
        <v>12.506570140829531</v>
      </c>
      <c r="V57" s="37">
        <f t="shared" si="26"/>
        <v>20.201738004173343</v>
      </c>
      <c r="W57" s="40">
        <f t="shared" si="3"/>
        <v>1472.4193058147105</v>
      </c>
      <c r="X57" s="32">
        <f t="shared" si="27"/>
        <v>982.10227324864127</v>
      </c>
      <c r="Y57" s="32">
        <f t="shared" si="28"/>
        <v>25.368975744887919</v>
      </c>
      <c r="Z57" s="33">
        <f t="shared" si="29"/>
        <v>16.046539503503574</v>
      </c>
      <c r="AA57" s="33">
        <f t="shared" si="30"/>
        <v>10.687705394781123</v>
      </c>
      <c r="AB57" s="39">
        <f t="shared" si="4"/>
        <v>658.40106832988988</v>
      </c>
      <c r="AC57" s="36">
        <f t="shared" si="31"/>
        <v>3127.4968908791166</v>
      </c>
      <c r="AD57" s="36">
        <f t="shared" si="32"/>
        <v>45.140966039022246</v>
      </c>
      <c r="AE57" s="37">
        <f t="shared" si="33"/>
        <v>28.717963831644031</v>
      </c>
      <c r="AF57" s="40">
        <f t="shared" si="5"/>
        <v>342.14990393624629</v>
      </c>
      <c r="AG57" s="32">
        <f t="shared" si="34"/>
        <v>669.15333007882316</v>
      </c>
      <c r="AH57" s="32">
        <f t="shared" si="35"/>
        <v>17.720608518912449</v>
      </c>
      <c r="AI57" s="33">
        <f t="shared" si="36"/>
        <v>15.652172257698709</v>
      </c>
      <c r="AJ57" s="33">
        <f t="shared" si="37"/>
        <v>10.579034676349007</v>
      </c>
      <c r="AK57" s="39">
        <f t="shared" si="6"/>
        <v>956.49601778502404</v>
      </c>
      <c r="AL57" s="36">
        <f t="shared" si="38"/>
        <v>607.25767122862976</v>
      </c>
      <c r="AM57" s="36">
        <f t="shared" si="39"/>
        <v>11.071057492406064</v>
      </c>
      <c r="AN57" s="37">
        <f t="shared" si="40"/>
        <v>22.735866485323648</v>
      </c>
      <c r="AO57" s="40">
        <f t="shared" si="7"/>
        <v>1567.9031486594724</v>
      </c>
      <c r="AP57" s="32">
        <f t="shared" si="56"/>
        <v>1023.5399946889964</v>
      </c>
      <c r="AQ57" s="32">
        <f t="shared" si="41"/>
        <v>26.039498773481355</v>
      </c>
      <c r="AR57" s="33">
        <f t="shared" si="42"/>
        <v>16.292952954388966</v>
      </c>
      <c r="AS57" s="33">
        <f t="shared" si="43"/>
        <v>10.765224849740729</v>
      </c>
      <c r="AT57" s="39">
        <f t="shared" si="8"/>
        <v>636.32803424822066</v>
      </c>
      <c r="AU57" s="36">
        <f t="shared" si="44"/>
        <v>3814.8856718946372</v>
      </c>
      <c r="AV57" s="36">
        <f t="shared" si="45"/>
        <v>49.329996095890444</v>
      </c>
      <c r="AW57" s="37">
        <f t="shared" si="46"/>
        <v>32.055167648564861</v>
      </c>
      <c r="AX57" s="40">
        <f t="shared" si="9"/>
        <v>296.34935481800557</v>
      </c>
      <c r="AY57" s="2">
        <f t="shared" si="57"/>
        <v>20.897371381957512</v>
      </c>
      <c r="AZ57" s="2">
        <f t="shared" si="47"/>
        <v>796.5234133578499</v>
      </c>
      <c r="BA57" s="2">
        <f t="shared" si="48"/>
        <v>919.7054283071086</v>
      </c>
      <c r="BB57" s="44">
        <f t="shared" si="60"/>
        <v>919.7054283071086</v>
      </c>
      <c r="BC57">
        <f t="shared" si="49"/>
        <v>210</v>
      </c>
      <c r="BD57" s="2">
        <f t="shared" si="50"/>
        <v>52.63529290949802</v>
      </c>
      <c r="BE57" s="2">
        <f t="shared" si="51"/>
        <v>735.76434264568695</v>
      </c>
      <c r="BF57" s="2">
        <f t="shared" si="10"/>
        <v>23.028264510835257</v>
      </c>
      <c r="BG57" s="24">
        <f t="shared" si="61"/>
        <v>0.43750615296148215</v>
      </c>
    </row>
    <row r="58" spans="1:59" x14ac:dyDescent="0.25">
      <c r="A58">
        <f t="shared" si="12"/>
        <v>216</v>
      </c>
      <c r="B58">
        <v>3.6</v>
      </c>
      <c r="C58" s="2">
        <f t="shared" si="58"/>
        <v>919.7054283071086</v>
      </c>
      <c r="D58" s="2">
        <f t="shared" si="13"/>
        <v>24.905117744380505</v>
      </c>
      <c r="E58" s="2">
        <f t="shared" si="14"/>
        <v>954.76663725155265</v>
      </c>
      <c r="F58" s="25">
        <f t="shared" si="15"/>
        <v>67.672522652134944</v>
      </c>
      <c r="G58">
        <f t="shared" si="16"/>
        <v>5.2983729430347278E-5</v>
      </c>
      <c r="H58">
        <f t="shared" si="17"/>
        <v>9.2374313295394233E-5</v>
      </c>
      <c r="I58" s="51">
        <f t="shared" si="59"/>
        <v>5.1902182799077787E-5</v>
      </c>
      <c r="J58" s="28">
        <f t="shared" si="52"/>
        <v>0.11116966678577693</v>
      </c>
      <c r="K58" s="24">
        <f t="shared" si="53"/>
        <v>16.116817100413208</v>
      </c>
      <c r="L58" s="33">
        <f t="shared" si="54"/>
        <v>10.709029740038375</v>
      </c>
      <c r="M58" s="39">
        <f t="shared" si="55"/>
        <v>679.57232424257711</v>
      </c>
      <c r="N58" s="40">
        <f t="shared" si="18"/>
        <v>420.4060138727595</v>
      </c>
      <c r="O58" s="32">
        <f t="shared" si="19"/>
        <v>681.4621767604383</v>
      </c>
      <c r="P58" s="32">
        <f t="shared" si="20"/>
        <v>18.245767915478442</v>
      </c>
      <c r="Q58" s="33">
        <f t="shared" si="21"/>
        <v>15.701829296802012</v>
      </c>
      <c r="R58" s="33">
        <f t="shared" si="22"/>
        <v>10.591728635209144</v>
      </c>
      <c r="S58" s="39">
        <f t="shared" si="23"/>
        <v>941.68983677716267</v>
      </c>
      <c r="T58" s="36">
        <f t="shared" si="24"/>
        <v>609.53955401826511</v>
      </c>
      <c r="U58" s="36">
        <f t="shared" si="25"/>
        <v>12.507888681034787</v>
      </c>
      <c r="V58" s="37">
        <f t="shared" si="26"/>
        <v>20.487479279499553</v>
      </c>
      <c r="W58" s="40">
        <f t="shared" si="3"/>
        <v>1484.9057279666058</v>
      </c>
      <c r="X58" s="32">
        <f t="shared" si="27"/>
        <v>994.85716216268611</v>
      </c>
      <c r="Y58" s="32">
        <f t="shared" si="28"/>
        <v>25.579327382473011</v>
      </c>
      <c r="Z58" s="33">
        <f t="shared" si="29"/>
        <v>16.350922207276351</v>
      </c>
      <c r="AA58" s="33">
        <f t="shared" si="30"/>
        <v>10.784601285021989</v>
      </c>
      <c r="AB58" s="39">
        <f t="shared" si="4"/>
        <v>656.78943279776752</v>
      </c>
      <c r="AC58" s="36">
        <f t="shared" si="31"/>
        <v>3211.1602409316492</v>
      </c>
      <c r="AD58" s="36">
        <f t="shared" si="32"/>
        <v>45.677158483250068</v>
      </c>
      <c r="AE58" s="37">
        <f t="shared" si="33"/>
        <v>29.555175365231285</v>
      </c>
      <c r="AF58" s="40">
        <f t="shared" si="5"/>
        <v>338.54102449885909</v>
      </c>
      <c r="AG58" s="32">
        <f t="shared" si="34"/>
        <v>668.27805854427152</v>
      </c>
      <c r="AH58" s="32">
        <f t="shared" si="35"/>
        <v>17.681042651263986</v>
      </c>
      <c r="AI58" s="33">
        <f t="shared" si="36"/>
        <v>15.889856394688008</v>
      </c>
      <c r="AJ58" s="33">
        <f t="shared" si="37"/>
        <v>10.642340773244666</v>
      </c>
      <c r="AK58" s="39">
        <f t="shared" si="6"/>
        <v>964.85655781646517</v>
      </c>
      <c r="AL58" s="36">
        <f t="shared" si="38"/>
        <v>607.19760507106469</v>
      </c>
      <c r="AM58" s="36">
        <f t="shared" si="39"/>
        <v>11.008105143588653</v>
      </c>
      <c r="AN58" s="37">
        <f t="shared" si="40"/>
        <v>23.189325822029964</v>
      </c>
      <c r="AO58" s="40">
        <f t="shared" si="7"/>
        <v>1585.8807342599907</v>
      </c>
      <c r="AP58" s="32">
        <f t="shared" si="56"/>
        <v>1040.3493740643526</v>
      </c>
      <c r="AQ58" s="32">
        <f t="shared" si="41"/>
        <v>26.301510981965791</v>
      </c>
      <c r="AR58" s="33">
        <f t="shared" si="42"/>
        <v>16.629115632915759</v>
      </c>
      <c r="AS58" s="33">
        <f t="shared" si="43"/>
        <v>10.883916711949936</v>
      </c>
      <c r="AT58" s="39">
        <f t="shared" si="8"/>
        <v>633.8533552410621</v>
      </c>
      <c r="AU58" s="36">
        <f t="shared" si="44"/>
        <v>3956.9138024405929</v>
      </c>
      <c r="AV58" s="36">
        <f t="shared" si="45"/>
        <v>50.141547087359591</v>
      </c>
      <c r="AW58" s="37">
        <f t="shared" si="46"/>
        <v>33.176418577729429</v>
      </c>
      <c r="AX58" s="40">
        <f t="shared" si="9"/>
        <v>291.08154607396244</v>
      </c>
      <c r="AY58" s="2">
        <f t="shared" si="57"/>
        <v>21.372515322021542</v>
      </c>
      <c r="AZ58" s="2">
        <f t="shared" si="47"/>
        <v>799.29729565811442</v>
      </c>
      <c r="BA58" s="2">
        <f t="shared" si="48"/>
        <v>925.10225819985453</v>
      </c>
      <c r="BB58" s="44">
        <f t="shared" si="60"/>
        <v>925.10225819985453</v>
      </c>
      <c r="BC58">
        <f t="shared" si="49"/>
        <v>216</v>
      </c>
      <c r="BD58" s="2">
        <f t="shared" si="50"/>
        <v>51.902182799077785</v>
      </c>
      <c r="BE58" s="2">
        <f t="shared" si="51"/>
        <v>740.08180655988372</v>
      </c>
      <c r="BF58" s="2">
        <f t="shared" si="10"/>
        <v>22.453694014369901</v>
      </c>
      <c r="BG58" s="24">
        <f t="shared" si="61"/>
        <v>0.43261560118371101</v>
      </c>
    </row>
    <row r="59" spans="1:59" x14ac:dyDescent="0.25">
      <c r="A59">
        <f t="shared" si="12"/>
        <v>222</v>
      </c>
      <c r="B59">
        <v>3.7</v>
      </c>
      <c r="C59" s="2">
        <f t="shared" si="58"/>
        <v>925.10225819985453</v>
      </c>
      <c r="D59" s="2">
        <f t="shared" si="13"/>
        <v>25.069623082539039</v>
      </c>
      <c r="E59" s="2">
        <f t="shared" si="14"/>
        <v>964.33655050143557</v>
      </c>
      <c r="F59" s="25">
        <f t="shared" si="15"/>
        <v>69.788486060786909</v>
      </c>
      <c r="G59">
        <f t="shared" si="16"/>
        <v>5.21743225492729E-5</v>
      </c>
      <c r="H59">
        <f t="shared" si="17"/>
        <v>9.0963155462231443E-5</v>
      </c>
      <c r="I59" s="51">
        <f t="shared" si="59"/>
        <v>5.1196603882496393E-5</v>
      </c>
      <c r="J59" s="28">
        <f t="shared" si="52"/>
        <v>0.10980895017766702</v>
      </c>
      <c r="K59" s="24">
        <f t="shared" si="53"/>
        <v>16.394803605763631</v>
      </c>
      <c r="L59" s="33">
        <f t="shared" si="54"/>
        <v>10.799565719331465</v>
      </c>
      <c r="M59" s="39">
        <f t="shared" si="55"/>
        <v>679.44821702287584</v>
      </c>
      <c r="N59" s="40">
        <f t="shared" si="18"/>
        <v>420.38470161798602</v>
      </c>
      <c r="O59" s="32">
        <f t="shared" si="19"/>
        <v>681.38552926388968</v>
      </c>
      <c r="P59" s="32">
        <f t="shared" si="20"/>
        <v>18.242660142858973</v>
      </c>
      <c r="Q59" s="33">
        <f t="shared" si="21"/>
        <v>15.919526051868655</v>
      </c>
      <c r="R59" s="33">
        <f t="shared" si="22"/>
        <v>10.650704196489297</v>
      </c>
      <c r="S59" s="39">
        <f t="shared" si="23"/>
        <v>948.3401036137958</v>
      </c>
      <c r="T59" s="36">
        <f t="shared" si="24"/>
        <v>609.53844432027802</v>
      </c>
      <c r="U59" s="36">
        <f t="shared" si="25"/>
        <v>12.507478700258387</v>
      </c>
      <c r="V59" s="37">
        <f t="shared" si="26"/>
        <v>20.770967470639057</v>
      </c>
      <c r="W59" s="40">
        <f t="shared" si="3"/>
        <v>1497.1995149091529</v>
      </c>
      <c r="X59" s="32">
        <f t="shared" si="27"/>
        <v>1007.5700151301678</v>
      </c>
      <c r="Y59" s="32">
        <f t="shared" si="28"/>
        <v>25.785408081256392</v>
      </c>
      <c r="Z59" s="33">
        <f t="shared" si="29"/>
        <v>16.65430910354392</v>
      </c>
      <c r="AA59" s="33">
        <f t="shared" si="30"/>
        <v>10.893442586997566</v>
      </c>
      <c r="AB59" s="39">
        <f t="shared" si="4"/>
        <v>655.9467939521478</v>
      </c>
      <c r="AC59" s="36">
        <f t="shared" si="31"/>
        <v>3295.3263716538295</v>
      </c>
      <c r="AD59" s="36">
        <f t="shared" si="32"/>
        <v>46.208490775782955</v>
      </c>
      <c r="AE59" s="37">
        <f t="shared" si="33"/>
        <v>30.394992811314182</v>
      </c>
      <c r="AF59" s="40">
        <f t="shared" si="5"/>
        <v>335.0078670827379</v>
      </c>
      <c r="AG59" s="32">
        <f t="shared" si="34"/>
        <v>667.82381838833362</v>
      </c>
      <c r="AH59" s="32">
        <f t="shared" si="35"/>
        <v>17.66037891736643</v>
      </c>
      <c r="AI59" s="33">
        <f t="shared" si="36"/>
        <v>16.117114163503214</v>
      </c>
      <c r="AJ59" s="33">
        <f t="shared" si="37"/>
        <v>10.709121186973331</v>
      </c>
      <c r="AK59" s="39">
        <f t="shared" si="6"/>
        <v>972.90543214878562</v>
      </c>
      <c r="AL59" s="36">
        <f t="shared" si="38"/>
        <v>607.13897195497157</v>
      </c>
      <c r="AM59" s="36">
        <f t="shared" si="39"/>
        <v>10.946756290034532</v>
      </c>
      <c r="AN59" s="37">
        <f t="shared" si="40"/>
        <v>23.63894318144936</v>
      </c>
      <c r="AO59" s="40">
        <f t="shared" si="7"/>
        <v>1603.5345978578798</v>
      </c>
      <c r="AP59" s="32">
        <f t="shared" si="56"/>
        <v>1056.9573112095281</v>
      </c>
      <c r="AQ59" s="32">
        <f t="shared" si="41"/>
        <v>26.555235118632766</v>
      </c>
      <c r="AR59" s="33">
        <f t="shared" si="42"/>
        <v>16.964172951340593</v>
      </c>
      <c r="AS59" s="33">
        <f t="shared" si="43"/>
        <v>11.018163615481232</v>
      </c>
      <c r="AT59" s="39">
        <f t="shared" si="8"/>
        <v>632.45622201036667</v>
      </c>
      <c r="AU59" s="36">
        <f t="shared" si="44"/>
        <v>4100.4133993622036</v>
      </c>
      <c r="AV59" s="36">
        <f t="shared" si="45"/>
        <v>50.945529664069383</v>
      </c>
      <c r="AW59" s="37">
        <f t="shared" si="46"/>
        <v>34.304173284670291</v>
      </c>
      <c r="AX59" s="40">
        <f t="shared" si="9"/>
        <v>286.02121813704292</v>
      </c>
      <c r="AY59" s="2">
        <f t="shared" si="57"/>
        <v>21.845524877291158</v>
      </c>
      <c r="AZ59" s="2">
        <f t="shared" si="47"/>
        <v>802.41213793127395</v>
      </c>
      <c r="BA59" s="2">
        <f t="shared" si="48"/>
        <v>930.44079949670345</v>
      </c>
      <c r="BB59" s="44">
        <f t="shared" si="60"/>
        <v>930.44079949670345</v>
      </c>
      <c r="BC59">
        <f t="shared" si="49"/>
        <v>222</v>
      </c>
      <c r="BD59" s="2">
        <f t="shared" si="50"/>
        <v>51.19660388249639</v>
      </c>
      <c r="BE59" s="2">
        <f t="shared" si="51"/>
        <v>744.35263959736278</v>
      </c>
      <c r="BF59" s="2">
        <f t="shared" si="10"/>
        <v>21.907353029846984</v>
      </c>
      <c r="BG59" s="24">
        <f t="shared" si="61"/>
        <v>0.42790637207357596</v>
      </c>
    </row>
    <row r="60" spans="1:59" x14ac:dyDescent="0.25">
      <c r="A60">
        <f t="shared" si="12"/>
        <v>228</v>
      </c>
      <c r="B60">
        <v>3.8</v>
      </c>
      <c r="C60" s="2">
        <f t="shared" si="58"/>
        <v>930.44079949670345</v>
      </c>
      <c r="D60" s="2">
        <f t="shared" si="13"/>
        <v>25.232993562379953</v>
      </c>
      <c r="E60" s="2">
        <f t="shared" si="14"/>
        <v>973.97593568012519</v>
      </c>
      <c r="F60" s="25">
        <f t="shared" si="15"/>
        <v>71.92241741916655</v>
      </c>
      <c r="G60">
        <f t="shared" si="16"/>
        <v>5.139449099222234E-5</v>
      </c>
      <c r="H60">
        <f t="shared" si="17"/>
        <v>8.9603560632967434E-5</v>
      </c>
      <c r="I60" s="51">
        <f t="shared" si="59"/>
        <v>5.0516806467864388E-5</v>
      </c>
      <c r="J60" s="28">
        <f t="shared" si="52"/>
        <v>0.10849395469498389</v>
      </c>
      <c r="K60" s="24">
        <f t="shared" si="53"/>
        <v>16.671760104595084</v>
      </c>
      <c r="L60" s="33">
        <f t="shared" si="54"/>
        <v>10.900093999252906</v>
      </c>
      <c r="M60" s="39">
        <f t="shared" si="55"/>
        <v>679.88237288292316</v>
      </c>
      <c r="N60" s="40">
        <f t="shared" si="18"/>
        <v>420.27928681829957</v>
      </c>
      <c r="O60" s="32">
        <f t="shared" si="19"/>
        <v>681.65389644155198</v>
      </c>
      <c r="P60" s="32">
        <f t="shared" si="20"/>
        <v>18.253533360427745</v>
      </c>
      <c r="Q60" s="33">
        <f t="shared" si="21"/>
        <v>16.129428521254862</v>
      </c>
      <c r="R60" s="33">
        <f t="shared" si="22"/>
        <v>10.712921763362033</v>
      </c>
      <c r="S60" s="39">
        <f t="shared" si="23"/>
        <v>954.76343170110079</v>
      </c>
      <c r="T60" s="36">
        <f t="shared" si="24"/>
        <v>609.53296122221445</v>
      </c>
      <c r="U60" s="36">
        <f t="shared" si="25"/>
        <v>12.505451000554885</v>
      </c>
      <c r="V60" s="37">
        <f t="shared" si="26"/>
        <v>21.052314014257412</v>
      </c>
      <c r="W60" s="40">
        <f t="shared" si="3"/>
        <v>1509.3091568582367</v>
      </c>
      <c r="X60" s="32">
        <f t="shared" si="27"/>
        <v>1020.112275917777</v>
      </c>
      <c r="Y60" s="32">
        <f t="shared" si="28"/>
        <v>25.985396857057829</v>
      </c>
      <c r="Z60" s="33">
        <f t="shared" si="29"/>
        <v>16.955891252994022</v>
      </c>
      <c r="AA60" s="33">
        <f t="shared" si="30"/>
        <v>11.014644070293283</v>
      </c>
      <c r="AB60" s="39">
        <f t="shared" si="4"/>
        <v>655.95532055422154</v>
      </c>
      <c r="AC60" s="36">
        <f t="shared" si="31"/>
        <v>3379.9902218686207</v>
      </c>
      <c r="AD60" s="36">
        <f t="shared" si="32"/>
        <v>46.735174187280442</v>
      </c>
      <c r="AE60" s="37">
        <f t="shared" si="33"/>
        <v>31.237306635617287</v>
      </c>
      <c r="AF60" s="40">
        <f t="shared" si="5"/>
        <v>331.54831824394296</v>
      </c>
      <c r="AG60" s="32">
        <f t="shared" si="34"/>
        <v>667.82840317315299</v>
      </c>
      <c r="AH60" s="32">
        <f t="shared" si="35"/>
        <v>17.660587932552442</v>
      </c>
      <c r="AI60" s="33">
        <f t="shared" si="36"/>
        <v>16.332840881889179</v>
      </c>
      <c r="AJ60" s="33">
        <f t="shared" si="37"/>
        <v>10.778509857390507</v>
      </c>
      <c r="AK60" s="39">
        <f t="shared" si="6"/>
        <v>980.49549450534801</v>
      </c>
      <c r="AL60" s="36">
        <f t="shared" si="38"/>
        <v>607.08128740832331</v>
      </c>
      <c r="AM60" s="36">
        <f t="shared" si="39"/>
        <v>10.886956503255853</v>
      </c>
      <c r="AN60" s="37">
        <f t="shared" si="40"/>
        <v>24.084762120632789</v>
      </c>
      <c r="AO60" s="40">
        <f t="shared" si="7"/>
        <v>1620.8760940898735</v>
      </c>
      <c r="AP60" s="32">
        <f t="shared" si="56"/>
        <v>1073.0055317976787</v>
      </c>
      <c r="AQ60" s="32">
        <f t="shared" si="41"/>
        <v>26.795825601189733</v>
      </c>
      <c r="AR60" s="33">
        <f t="shared" si="42"/>
        <v>17.295647323641969</v>
      </c>
      <c r="AS60" s="33">
        <f t="shared" si="43"/>
        <v>11.167807052240942</v>
      </c>
      <c r="AT60" s="39">
        <f t="shared" si="8"/>
        <v>632.29202782947857</v>
      </c>
      <c r="AU60" s="36">
        <f t="shared" si="44"/>
        <v>4245.3159113107304</v>
      </c>
      <c r="AV60" s="36">
        <f t="shared" si="45"/>
        <v>51.742083542753456</v>
      </c>
      <c r="AW60" s="37">
        <f t="shared" si="46"/>
        <v>35.437910188436639</v>
      </c>
      <c r="AX60" s="40">
        <f t="shared" si="9"/>
        <v>281.15740159318852</v>
      </c>
      <c r="AY60" s="2">
        <f t="shared" si="57"/>
        <v>22.315762617340518</v>
      </c>
      <c r="AZ60" s="2">
        <f t="shared" si="47"/>
        <v>805.87656864753717</v>
      </c>
      <c r="BA60" s="2">
        <f t="shared" si="48"/>
        <v>935.72274269631043</v>
      </c>
      <c r="BB60" s="44">
        <f t="shared" si="60"/>
        <v>935.72274269631043</v>
      </c>
      <c r="BC60">
        <f t="shared" si="49"/>
        <v>228</v>
      </c>
      <c r="BD60" s="2">
        <f t="shared" si="50"/>
        <v>50.516806467864392</v>
      </c>
      <c r="BE60" s="2">
        <f t="shared" si="51"/>
        <v>748.57819415704842</v>
      </c>
      <c r="BF60" s="2">
        <f t="shared" si="10"/>
        <v>21.387499728430775</v>
      </c>
      <c r="BG60" s="24">
        <f t="shared" si="61"/>
        <v>0.42337394668913114</v>
      </c>
    </row>
    <row r="61" spans="1:59" x14ac:dyDescent="0.25">
      <c r="A61">
        <f t="shared" si="12"/>
        <v>234</v>
      </c>
      <c r="B61">
        <v>3.9</v>
      </c>
      <c r="C61" s="2">
        <f t="shared" si="58"/>
        <v>935.72274269631043</v>
      </c>
      <c r="D61" s="2">
        <f t="shared" si="13"/>
        <v>25.395260306707755</v>
      </c>
      <c r="E61" s="2">
        <f t="shared" si="14"/>
        <v>983.68383228419077</v>
      </c>
      <c r="F61" s="25">
        <f t="shared" si="15"/>
        <v>74.074495349993839</v>
      </c>
      <c r="G61">
        <f t="shared" si="16"/>
        <v>5.0642409026113517E-5</v>
      </c>
      <c r="H61">
        <f t="shared" si="17"/>
        <v>8.8292345739110587E-5</v>
      </c>
      <c r="I61" s="51">
        <f t="shared" si="59"/>
        <v>4.9861199020935964E-5</v>
      </c>
      <c r="J61" s="28">
        <f t="shared" si="52"/>
        <v>0.10722196691727764</v>
      </c>
      <c r="K61" s="24">
        <f t="shared" si="53"/>
        <v>16.947775701778884</v>
      </c>
      <c r="L61" s="33">
        <f t="shared" si="54"/>
        <v>11.0112052574027</v>
      </c>
      <c r="M61" s="39">
        <f t="shared" si="55"/>
        <v>680.89867628017817</v>
      </c>
      <c r="N61" s="40">
        <f t="shared" si="18"/>
        <v>420.0951885395624</v>
      </c>
      <c r="O61" s="32">
        <f t="shared" si="19"/>
        <v>682.28470236287649</v>
      </c>
      <c r="P61" s="32">
        <f t="shared" si="20"/>
        <v>18.279002683504459</v>
      </c>
      <c r="Q61" s="33">
        <f t="shared" si="21"/>
        <v>16.331383619220457</v>
      </c>
      <c r="R61" s="33">
        <f t="shared" si="22"/>
        <v>10.778020807400374</v>
      </c>
      <c r="S61" s="39">
        <f t="shared" si="23"/>
        <v>960.89636106947216</v>
      </c>
      <c r="T61" s="36">
        <f t="shared" si="24"/>
        <v>609.52340814224385</v>
      </c>
      <c r="U61" s="36">
        <f t="shared" si="25"/>
        <v>12.501910386720317</v>
      </c>
      <c r="V61" s="37">
        <f t="shared" si="26"/>
        <v>21.33162057725843</v>
      </c>
      <c r="W61" s="40">
        <f t="shared" si="3"/>
        <v>1521.2423911212018</v>
      </c>
      <c r="X61" s="32">
        <f t="shared" si="27"/>
        <v>1032.3314148841193</v>
      </c>
      <c r="Y61" s="32">
        <f t="shared" si="28"/>
        <v>26.17720661292762</v>
      </c>
      <c r="Z61" s="33">
        <f t="shared" si="29"/>
        <v>17.254631382055265</v>
      </c>
      <c r="AA61" s="33">
        <f t="shared" si="30"/>
        <v>11.148343595221714</v>
      </c>
      <c r="AB61" s="39">
        <f t="shared" si="4"/>
        <v>656.89259589101471</v>
      </c>
      <c r="AC61" s="36">
        <f t="shared" si="31"/>
        <v>3465.1457570146804</v>
      </c>
      <c r="AD61" s="36">
        <f t="shared" si="32"/>
        <v>47.257398501304699</v>
      </c>
      <c r="AE61" s="37">
        <f t="shared" si="33"/>
        <v>32.082007804568441</v>
      </c>
      <c r="AF61" s="40">
        <f t="shared" si="5"/>
        <v>328.16037963770054</v>
      </c>
      <c r="AG61" s="32">
        <f t="shared" si="34"/>
        <v>668.33383035919314</v>
      </c>
      <c r="AH61" s="32">
        <f t="shared" si="35"/>
        <v>17.683573576057846</v>
      </c>
      <c r="AI61" s="33">
        <f t="shared" si="36"/>
        <v>16.53610626354368</v>
      </c>
      <c r="AJ61" s="33">
        <f t="shared" si="37"/>
        <v>10.84952465606835</v>
      </c>
      <c r="AK61" s="39">
        <f t="shared" si="6"/>
        <v>987.46208872559919</v>
      </c>
      <c r="AL61" s="36">
        <f t="shared" si="38"/>
        <v>607.02412331975893</v>
      </c>
      <c r="AM61" s="36">
        <f t="shared" si="39"/>
        <v>10.82865435739857</v>
      </c>
      <c r="AN61" s="37">
        <f t="shared" si="40"/>
        <v>24.526823274073998</v>
      </c>
      <c r="AO61" s="40">
        <f t="shared" si="7"/>
        <v>1637.9158413011282</v>
      </c>
      <c r="AP61" s="32">
        <f t="shared" si="56"/>
        <v>1088.0700484278707</v>
      </c>
      <c r="AQ61" s="32">
        <f t="shared" si="41"/>
        <v>27.017789129993005</v>
      </c>
      <c r="AR61" s="33">
        <f t="shared" si="42"/>
        <v>17.620445752699744</v>
      </c>
      <c r="AS61" s="33">
        <f t="shared" si="43"/>
        <v>11.331789495633814</v>
      </c>
      <c r="AT61" s="39">
        <f t="shared" si="8"/>
        <v>633.49735764212562</v>
      </c>
      <c r="AU61" s="36">
        <f t="shared" si="44"/>
        <v>4391.554621250436</v>
      </c>
      <c r="AV61" s="36">
        <f t="shared" si="45"/>
        <v>52.531338557251125</v>
      </c>
      <c r="AW61" s="37">
        <f t="shared" si="46"/>
        <v>36.577133256720586</v>
      </c>
      <c r="AX61" s="40">
        <f t="shared" si="9"/>
        <v>276.47981247609414</v>
      </c>
      <c r="AY61" s="2">
        <f t="shared" si="57"/>
        <v>22.782518991267573</v>
      </c>
      <c r="AZ61" s="2">
        <f t="shared" si="47"/>
        <v>809.68710083205303</v>
      </c>
      <c r="BA61" s="2">
        <f t="shared" si="48"/>
        <v>940.94960613403123</v>
      </c>
      <c r="BB61" s="44">
        <f t="shared" si="60"/>
        <v>940.94960613403123</v>
      </c>
      <c r="BC61">
        <f t="shared" si="49"/>
        <v>234</v>
      </c>
      <c r="BD61" s="2">
        <f t="shared" si="50"/>
        <v>49.861199020935963</v>
      </c>
      <c r="BE61" s="2">
        <f t="shared" si="51"/>
        <v>752.75968490722505</v>
      </c>
      <c r="BF61" s="2">
        <f t="shared" si="10"/>
        <v>20.892568898067438</v>
      </c>
      <c r="BG61" s="24">
        <f t="shared" si="61"/>
        <v>0.41901457061421576</v>
      </c>
    </row>
    <row r="62" spans="1:59" x14ac:dyDescent="0.25">
      <c r="A62">
        <f t="shared" si="12"/>
        <v>240</v>
      </c>
      <c r="B62">
        <v>4</v>
      </c>
      <c r="C62" s="2">
        <f t="shared" si="58"/>
        <v>940.94960613403123</v>
      </c>
      <c r="D62" s="2">
        <f t="shared" si="13"/>
        <v>25.556450138614622</v>
      </c>
      <c r="E62" s="2">
        <f t="shared" si="14"/>
        <v>993.45913380888408</v>
      </c>
      <c r="F62" s="25">
        <f t="shared" si="15"/>
        <v>76.244882437834931</v>
      </c>
      <c r="G62">
        <f t="shared" si="16"/>
        <v>4.991641166917683E-5</v>
      </c>
      <c r="H62">
        <f t="shared" si="17"/>
        <v>8.7026607973529936E-5</v>
      </c>
      <c r="I62" s="51">
        <f t="shared" si="59"/>
        <v>4.9228330138145639E-5</v>
      </c>
      <c r="J62" s="28">
        <f t="shared" si="52"/>
        <v>0.10599050728108343</v>
      </c>
      <c r="K62" s="24">
        <f t="shared" si="53"/>
        <v>17.222932198084994</v>
      </c>
      <c r="L62" s="33">
        <f t="shared" si="54"/>
        <v>11.133487604184516</v>
      </c>
      <c r="M62" s="39">
        <f t="shared" si="55"/>
        <v>682.51971738989016</v>
      </c>
      <c r="N62" s="40">
        <f t="shared" si="18"/>
        <v>419.83751267235289</v>
      </c>
      <c r="O62" s="32">
        <f t="shared" si="19"/>
        <v>683.29840261102026</v>
      </c>
      <c r="P62" s="32">
        <f t="shared" si="20"/>
        <v>18.319675068579649</v>
      </c>
      <c r="Q62" s="33">
        <f t="shared" si="21"/>
        <v>16.525334264179037</v>
      </c>
      <c r="R62" s="33">
        <f t="shared" si="22"/>
        <v>10.845619605128739</v>
      </c>
      <c r="S62" s="39">
        <f t="shared" si="23"/>
        <v>966.66933505694044</v>
      </c>
      <c r="T62" s="36">
        <f t="shared" si="24"/>
        <v>609.51008540857526</v>
      </c>
      <c r="U62" s="36">
        <f t="shared" si="25"/>
        <v>12.496955989367876</v>
      </c>
      <c r="V62" s="37">
        <f t="shared" si="26"/>
        <v>21.608980106271762</v>
      </c>
      <c r="W62" s="40">
        <f t="shared" si="3"/>
        <v>1533.0062864015595</v>
      </c>
      <c r="X62" s="32">
        <f t="shared" si="27"/>
        <v>1044.0532454213865</v>
      </c>
      <c r="Y62" s="32">
        <f t="shared" si="28"/>
        <v>26.358528427660744</v>
      </c>
      <c r="Z62" s="33">
        <f t="shared" si="29"/>
        <v>17.549271837999566</v>
      </c>
      <c r="AA62" s="33">
        <f t="shared" si="30"/>
        <v>11.294330389657286</v>
      </c>
      <c r="AB62" s="39">
        <f t="shared" si="4"/>
        <v>658.82765296361561</v>
      </c>
      <c r="AC62" s="36">
        <f t="shared" si="31"/>
        <v>3550.7860537321144</v>
      </c>
      <c r="AD62" s="36">
        <f t="shared" si="32"/>
        <v>47.77533440290636</v>
      </c>
      <c r="AE62" s="37">
        <f t="shared" si="33"/>
        <v>32.92898799326305</v>
      </c>
      <c r="AF62" s="40">
        <f t="shared" si="5"/>
        <v>324.8421554434463</v>
      </c>
      <c r="AG62" s="32">
        <f t="shared" si="34"/>
        <v>669.38643692946437</v>
      </c>
      <c r="AH62" s="32">
        <f t="shared" si="35"/>
        <v>17.731090966769624</v>
      </c>
      <c r="AI62" s="33">
        <f t="shared" si="36"/>
        <v>16.726268514456684</v>
      </c>
      <c r="AJ62" s="33">
        <f t="shared" si="37"/>
        <v>10.921151297718744</v>
      </c>
      <c r="AK62" s="39">
        <f t="shared" si="6"/>
        <v>993.63182852929094</v>
      </c>
      <c r="AL62" s="36">
        <f t="shared" si="38"/>
        <v>606.96710259028021</v>
      </c>
      <c r="AM62" s="36">
        <f t="shared" si="39"/>
        <v>10.771801137129858</v>
      </c>
      <c r="AN62" s="37">
        <f t="shared" si="40"/>
        <v>24.965164948767875</v>
      </c>
      <c r="AO62" s="40">
        <f t="shared" si="7"/>
        <v>1654.6637932571396</v>
      </c>
      <c r="AP62" s="32">
        <f t="shared" si="56"/>
        <v>1101.6816914168012</v>
      </c>
      <c r="AQ62" s="32">
        <f t="shared" si="41"/>
        <v>27.215271715622016</v>
      </c>
      <c r="AR62" s="33">
        <f t="shared" si="42"/>
        <v>17.934987209029853</v>
      </c>
      <c r="AS62" s="33">
        <f t="shared" si="43"/>
        <v>11.507993576121159</v>
      </c>
      <c r="AT62" s="39">
        <f t="shared" si="8"/>
        <v>636.17625919892976</v>
      </c>
      <c r="AU62" s="36">
        <f t="shared" si="44"/>
        <v>4539.0646043473989</v>
      </c>
      <c r="AV62" s="36">
        <f t="shared" si="45"/>
        <v>53.313415859405502</v>
      </c>
      <c r="AW62" s="37">
        <f t="shared" si="46"/>
        <v>37.721370978255898</v>
      </c>
      <c r="AX62" s="40">
        <f t="shared" si="9"/>
        <v>271.97880882631978</v>
      </c>
      <c r="AY62" s="2">
        <f t="shared" si="57"/>
        <v>23.245045731527963</v>
      </c>
      <c r="AZ62" s="2">
        <f t="shared" si="47"/>
        <v>813.82626893719419</v>
      </c>
      <c r="BA62" s="2">
        <f t="shared" si="48"/>
        <v>946.12276098211623</v>
      </c>
      <c r="BB62" s="44">
        <f t="shared" si="60"/>
        <v>946.12276098211623</v>
      </c>
      <c r="BC62">
        <f t="shared" si="49"/>
        <v>240</v>
      </c>
      <c r="BD62" s="2">
        <f t="shared" si="50"/>
        <v>49.228330138145637</v>
      </c>
      <c r="BE62" s="2">
        <f t="shared" si="51"/>
        <v>756.89820878569299</v>
      </c>
      <c r="BF62" s="2">
        <f t="shared" si="10"/>
        <v>20.421135999541825</v>
      </c>
      <c r="BG62" s="24">
        <f t="shared" si="61"/>
        <v>0.41482487710299287</v>
      </c>
    </row>
    <row r="63" spans="1:59" x14ac:dyDescent="0.25">
      <c r="A63">
        <f t="shared" si="12"/>
        <v>245.99999999999997</v>
      </c>
      <c r="B63">
        <v>4.0999999999999996</v>
      </c>
      <c r="C63" s="2">
        <f t="shared" si="58"/>
        <v>946.12276098211623</v>
      </c>
      <c r="D63" s="2">
        <f t="shared" si="13"/>
        <v>25.716586235946714</v>
      </c>
      <c r="E63" s="2">
        <f t="shared" si="14"/>
        <v>1003.3006096154033</v>
      </c>
      <c r="F63" s="25">
        <f t="shared" si="15"/>
        <v>78.433725734708162</v>
      </c>
      <c r="G63">
        <f t="shared" si="16"/>
        <v>4.9214976799052742E-5</v>
      </c>
      <c r="H63">
        <f t="shared" si="17"/>
        <v>8.5803693596875197E-5</v>
      </c>
      <c r="I63" s="51">
        <f t="shared" si="59"/>
        <v>4.861687294981827E-5</v>
      </c>
      <c r="J63" s="28">
        <f t="shared" si="52"/>
        <v>0.10479730450647323</v>
      </c>
      <c r="K63" s="24">
        <f t="shared" si="53"/>
        <v>17.49730471203398</v>
      </c>
      <c r="L63" s="33">
        <f t="shared" si="54"/>
        <v>11.267527382952785</v>
      </c>
      <c r="M63" s="39">
        <f t="shared" si="55"/>
        <v>684.76688504977631</v>
      </c>
      <c r="N63" s="40">
        <f t="shared" si="18"/>
        <v>419.51107186725488</v>
      </c>
      <c r="O63" s="32">
        <f t="shared" si="19"/>
        <v>684.71905080188753</v>
      </c>
      <c r="P63" s="32">
        <f t="shared" si="20"/>
        <v>18.376154504029468</v>
      </c>
      <c r="Q63" s="33">
        <f t="shared" si="21"/>
        <v>16.711336102576407</v>
      </c>
      <c r="R63" s="33">
        <f t="shared" si="22"/>
        <v>10.915340120709981</v>
      </c>
      <c r="S63" s="39">
        <f t="shared" si="23"/>
        <v>972.00850585600165</v>
      </c>
      <c r="T63" s="36">
        <f t="shared" si="24"/>
        <v>609.49328807090956</v>
      </c>
      <c r="U63" s="36">
        <f t="shared" si="25"/>
        <v>12.490681567231631</v>
      </c>
      <c r="V63" s="37">
        <f t="shared" si="26"/>
        <v>21.88447774219479</v>
      </c>
      <c r="W63" s="40">
        <f t="shared" si="3"/>
        <v>1544.6073165845962</v>
      </c>
      <c r="X63" s="32">
        <f t="shared" si="27"/>
        <v>1055.0857853036107</v>
      </c>
      <c r="Y63" s="32">
        <f t="shared" si="28"/>
        <v>26.526889524617808</v>
      </c>
      <c r="Z63" s="33">
        <f t="shared" si="29"/>
        <v>17.838356522828551</v>
      </c>
      <c r="AA63" s="33">
        <f t="shared" si="30"/>
        <v>11.451979519674385</v>
      </c>
      <c r="AB63" s="39">
        <f t="shared" si="4"/>
        <v>661.81711565618696</v>
      </c>
      <c r="AC63" s="36">
        <f t="shared" si="31"/>
        <v>3636.9033812175212</v>
      </c>
      <c r="AD63" s="36">
        <f t="shared" si="32"/>
        <v>48.289135588263406</v>
      </c>
      <c r="AE63" s="37">
        <f t="shared" si="33"/>
        <v>33.778139789246076</v>
      </c>
      <c r="AF63" s="40">
        <f t="shared" si="5"/>
        <v>321.59184132671993</v>
      </c>
      <c r="AG63" s="32">
        <f t="shared" si="34"/>
        <v>671.03691916714592</v>
      </c>
      <c r="AH63" s="32">
        <f t="shared" si="35"/>
        <v>17.804665294989071</v>
      </c>
      <c r="AI63" s="33">
        <f t="shared" si="36"/>
        <v>16.903085851528562</v>
      </c>
      <c r="AJ63" s="33">
        <f t="shared" si="37"/>
        <v>10.992447533584791</v>
      </c>
      <c r="AK63" s="39">
        <f t="shared" si="6"/>
        <v>998.83370847511083</v>
      </c>
      <c r="AL63" s="36">
        <f t="shared" si="38"/>
        <v>606.90989432570996</v>
      </c>
      <c r="AM63" s="36">
        <f t="shared" si="39"/>
        <v>10.716350580796984</v>
      </c>
      <c r="AN63" s="37">
        <f t="shared" si="40"/>
        <v>25.399823638005451</v>
      </c>
      <c r="AO63" s="40">
        <f t="shared" si="7"/>
        <v>1671.1293024852662</v>
      </c>
      <c r="AP63" s="32">
        <f t="shared" si="56"/>
        <v>1113.3571403278347</v>
      </c>
      <c r="AQ63" s="32">
        <f t="shared" si="41"/>
        <v>27.382437321710384</v>
      </c>
      <c r="AR63" s="33">
        <f t="shared" si="42"/>
        <v>18.235420937117219</v>
      </c>
      <c r="AS63" s="33">
        <f t="shared" si="43"/>
        <v>11.693195972038357</v>
      </c>
      <c r="AT63" s="39">
        <f t="shared" si="8"/>
        <v>640.38910324852543</v>
      </c>
      <c r="AU63" s="36">
        <f t="shared" si="44"/>
        <v>4687.7826928789536</v>
      </c>
      <c r="AV63" s="36">
        <f t="shared" si="45"/>
        <v>54.088428981404114</v>
      </c>
      <c r="AW63" s="37">
        <f t="shared" si="46"/>
        <v>38.870175386244156</v>
      </c>
      <c r="AX63" s="40">
        <f t="shared" si="9"/>
        <v>267.64534874866223</v>
      </c>
      <c r="AY63" s="2">
        <f t="shared" si="57"/>
        <v>23.702601996217652</v>
      </c>
      <c r="AZ63" s="2">
        <f t="shared" si="47"/>
        <v>818.26210830895627</v>
      </c>
      <c r="BA63" s="2">
        <f t="shared" si="48"/>
        <v>951.24345228631114</v>
      </c>
      <c r="BB63" s="44">
        <f t="shared" si="60"/>
        <v>951.24345228631114</v>
      </c>
      <c r="BC63">
        <f t="shared" si="49"/>
        <v>245.99999999999997</v>
      </c>
      <c r="BD63" s="2">
        <f t="shared" si="50"/>
        <v>48.616872949818273</v>
      </c>
      <c r="BE63" s="2">
        <f t="shared" si="51"/>
        <v>760.99476182904891</v>
      </c>
      <c r="BF63" s="2">
        <f t="shared" si="10"/>
        <v>19.971882627298807</v>
      </c>
      <c r="BG63" s="24">
        <f t="shared" si="61"/>
        <v>0.41080146491349895</v>
      </c>
    </row>
    <row r="64" spans="1:59" x14ac:dyDescent="0.25">
      <c r="A64">
        <f t="shared" si="12"/>
        <v>252</v>
      </c>
      <c r="B64">
        <v>4.2</v>
      </c>
      <c r="C64" s="2">
        <f t="shared" si="58"/>
        <v>951.24345228631114</v>
      </c>
      <c r="D64" s="2">
        <f t="shared" si="13"/>
        <v>25.87568868324847</v>
      </c>
      <c r="E64" s="2">
        <f t="shared" si="14"/>
        <v>1013.2069238724614</v>
      </c>
      <c r="F64" s="25">
        <f t="shared" si="15"/>
        <v>80.641157279964645</v>
      </c>
      <c r="G64">
        <f t="shared" si="16"/>
        <v>4.853670961792897E-5</v>
      </c>
      <c r="H64">
        <f t="shared" si="17"/>
        <v>8.4621170853370001E-5</v>
      </c>
      <c r="I64" s="51">
        <f t="shared" si="59"/>
        <v>4.8025611578065671E-5</v>
      </c>
      <c r="J64" s="28">
        <f t="shared" si="52"/>
        <v>0.10364027333616321</v>
      </c>
      <c r="K64" s="24">
        <f t="shared" si="53"/>
        <v>17.770962240822932</v>
      </c>
      <c r="L64" s="33">
        <f t="shared" si="54"/>
        <v>11.413909838159725</v>
      </c>
      <c r="M64" s="39">
        <f t="shared" si="55"/>
        <v>687.66045040685083</v>
      </c>
      <c r="N64" s="40">
        <f t="shared" si="18"/>
        <v>419.12040384075533</v>
      </c>
      <c r="O64" s="32">
        <f t="shared" si="19"/>
        <v>686.57488487493106</v>
      </c>
      <c r="P64" s="32">
        <f t="shared" si="20"/>
        <v>18.449046847597309</v>
      </c>
      <c r="Q64" s="33">
        <f t="shared" si="21"/>
        <v>16.889573844625158</v>
      </c>
      <c r="R64" s="33">
        <f t="shared" si="22"/>
        <v>10.986835420919938</v>
      </c>
      <c r="S64" s="39">
        <f t="shared" si="23"/>
        <v>976.83781816617568</v>
      </c>
      <c r="T64" s="36">
        <f t="shared" si="24"/>
        <v>609.47330407629715</v>
      </c>
      <c r="U64" s="36">
        <f t="shared" si="25"/>
        <v>12.483175790371362</v>
      </c>
      <c r="V64" s="37">
        <f t="shared" si="26"/>
        <v>22.158191620454154</v>
      </c>
      <c r="W64" s="40">
        <f t="shared" si="3"/>
        <v>1556.0514254902273</v>
      </c>
      <c r="X64" s="32">
        <f t="shared" si="27"/>
        <v>1065.2246531010751</v>
      </c>
      <c r="Y64" s="32">
        <f t="shared" si="28"/>
        <v>26.679723151987979</v>
      </c>
      <c r="Z64" s="33">
        <f t="shared" si="29"/>
        <v>18.120267425182426</v>
      </c>
      <c r="AA64" s="33">
        <f t="shared" si="30"/>
        <v>11.62020164094999</v>
      </c>
      <c r="AB64" s="39">
        <f t="shared" si="4"/>
        <v>665.90183851491474</v>
      </c>
      <c r="AC64" s="36">
        <f t="shared" si="31"/>
        <v>3723.4892792740402</v>
      </c>
      <c r="AD64" s="36">
        <f t="shared" si="32"/>
        <v>48.798940632539917</v>
      </c>
      <c r="AE64" s="37">
        <f t="shared" si="33"/>
        <v>34.629356889674</v>
      </c>
      <c r="AF64" s="40">
        <f t="shared" si="5"/>
        <v>318.40771477180994</v>
      </c>
      <c r="AG64" s="32">
        <f t="shared" si="34"/>
        <v>673.34026412501225</v>
      </c>
      <c r="AH64" s="32">
        <f t="shared" si="35"/>
        <v>17.905518949836953</v>
      </c>
      <c r="AI64" s="33">
        <f t="shared" si="36"/>
        <v>17.066811233559672</v>
      </c>
      <c r="AJ64" s="33">
        <f t="shared" si="37"/>
        <v>11.062655907728182</v>
      </c>
      <c r="AK64" s="39">
        <f t="shared" si="6"/>
        <v>1002.9114233047561</v>
      </c>
      <c r="AL64" s="36">
        <f t="shared" si="38"/>
        <v>606.85220949970915</v>
      </c>
      <c r="AM64" s="36">
        <f t="shared" si="39"/>
        <v>10.662258654712684</v>
      </c>
      <c r="AN64" s="37">
        <f t="shared" si="40"/>
        <v>25.830834463128404</v>
      </c>
      <c r="AO64" s="40">
        <f t="shared" si="7"/>
        <v>1687.3211763413108</v>
      </c>
      <c r="AP64" s="32">
        <f t="shared" si="56"/>
        <v>1122.6377928130114</v>
      </c>
      <c r="AQ64" s="32">
        <f t="shared" si="41"/>
        <v>27.513900994398632</v>
      </c>
      <c r="AR64" s="33">
        <f t="shared" si="42"/>
        <v>18.517919879460209</v>
      </c>
      <c r="AS64" s="33">
        <f t="shared" si="43"/>
        <v>11.883185711465323</v>
      </c>
      <c r="AT64" s="39">
        <f t="shared" si="8"/>
        <v>646.14648289646152</v>
      </c>
      <c r="AU64" s="36">
        <f t="shared" si="44"/>
        <v>4837.6474466185691</v>
      </c>
      <c r="AV64" s="36">
        <f t="shared" si="45"/>
        <v>54.856484775525715</v>
      </c>
      <c r="AW64" s="37">
        <f t="shared" si="46"/>
        <v>40.023121126714535</v>
      </c>
      <c r="AX64" s="40">
        <f t="shared" si="9"/>
        <v>263.47095036417596</v>
      </c>
      <c r="AY64" s="2">
        <f t="shared" si="57"/>
        <v>24.154509560349815</v>
      </c>
      <c r="AZ64" s="2">
        <f t="shared" si="47"/>
        <v>822.94939072057696</v>
      </c>
      <c r="BA64" s="2">
        <f t="shared" si="48"/>
        <v>956.31281674188097</v>
      </c>
      <c r="BB64" s="44">
        <f t="shared" si="60"/>
        <v>956.31281674188097</v>
      </c>
      <c r="BC64">
        <f t="shared" si="49"/>
        <v>252</v>
      </c>
      <c r="BD64" s="2">
        <f t="shared" si="50"/>
        <v>48.025611578065671</v>
      </c>
      <c r="BE64" s="2">
        <f t="shared" si="51"/>
        <v>765.05025339350482</v>
      </c>
      <c r="BF64" s="2">
        <f t="shared" si="10"/>
        <v>19.543565009795824</v>
      </c>
      <c r="BG64" s="24">
        <f t="shared" si="61"/>
        <v>0.40694047129473288</v>
      </c>
    </row>
    <row r="65" spans="1:59" x14ac:dyDescent="0.25">
      <c r="A65">
        <f t="shared" si="12"/>
        <v>258</v>
      </c>
      <c r="B65">
        <v>4.3</v>
      </c>
      <c r="C65" s="2">
        <f t="shared" si="58"/>
        <v>956.31281674188097</v>
      </c>
      <c r="D65" s="2">
        <f t="shared" si="13"/>
        <v>26.033774939210922</v>
      </c>
      <c r="E65" s="2">
        <f t="shared" si="14"/>
        <v>1023.1766520600136</v>
      </c>
      <c r="F65" s="25">
        <f t="shared" si="15"/>
        <v>82.86729463063719</v>
      </c>
      <c r="G65">
        <f t="shared" si="16"/>
        <v>4.7880329118746574E-5</v>
      </c>
      <c r="H65">
        <f t="shared" si="17"/>
        <v>8.3476806375362274E-5</v>
      </c>
      <c r="I65" s="51">
        <f t="shared" si="59"/>
        <v>4.7453429339061808E-5</v>
      </c>
      <c r="J65" s="28">
        <f t="shared" si="52"/>
        <v>0.10251749509450309</v>
      </c>
      <c r="K65" s="24">
        <f t="shared" si="53"/>
        <v>18.043968167658477</v>
      </c>
      <c r="L65" s="33">
        <f t="shared" si="54"/>
        <v>11.573219670169365</v>
      </c>
      <c r="M65" s="39">
        <f t="shared" si="55"/>
        <v>691.21964243874447</v>
      </c>
      <c r="N65" s="40">
        <f t="shared" si="18"/>
        <v>418.66978821839524</v>
      </c>
      <c r="O65" s="32">
        <f t="shared" si="19"/>
        <v>688.89894234109079</v>
      </c>
      <c r="P65" s="32">
        <f t="shared" si="20"/>
        <v>18.538964342591704</v>
      </c>
      <c r="Q65" s="33">
        <f t="shared" si="21"/>
        <v>17.060377071768162</v>
      </c>
      <c r="R65" s="33">
        <f t="shared" si="22"/>
        <v>11.059818968436467</v>
      </c>
      <c r="S65" s="39">
        <f t="shared" si="23"/>
        <v>981.08129630764404</v>
      </c>
      <c r="T65" s="36">
        <f t="shared" si="24"/>
        <v>609.45041277333553</v>
      </c>
      <c r="U65" s="36">
        <f t="shared" si="25"/>
        <v>12.474522505853205</v>
      </c>
      <c r="V65" s="37">
        <f t="shared" si="26"/>
        <v>22.430193574047525</v>
      </c>
      <c r="W65" s="40">
        <f t="shared" si="3"/>
        <v>1567.344083837324</v>
      </c>
      <c r="X65" s="32">
        <f t="shared" si="27"/>
        <v>1074.2598826281107</v>
      </c>
      <c r="Y65" s="32">
        <f t="shared" si="28"/>
        <v>26.814448041345564</v>
      </c>
      <c r="Z65" s="33">
        <f t="shared" si="29"/>
        <v>18.393275373220881</v>
      </c>
      <c r="AA65" s="33">
        <f t="shared" si="30"/>
        <v>11.797417752619261</v>
      </c>
      <c r="AB65" s="39">
        <f t="shared" si="4"/>
        <v>671.10441594198733</v>
      </c>
      <c r="AC65" s="36">
        <f t="shared" si="31"/>
        <v>3810.5346330008383</v>
      </c>
      <c r="AD65" s="36">
        <f t="shared" si="32"/>
        <v>49.304874647248958</v>
      </c>
      <c r="AE65" s="37">
        <f t="shared" si="33"/>
        <v>35.482534289842683</v>
      </c>
      <c r="AF65" s="40">
        <f t="shared" si="5"/>
        <v>315.28812663259964</v>
      </c>
      <c r="AG65" s="32">
        <f t="shared" si="34"/>
        <v>676.35551902381508</v>
      </c>
      <c r="AH65" s="32">
        <f t="shared" si="35"/>
        <v>18.034514100034876</v>
      </c>
      <c r="AI65" s="33">
        <f t="shared" si="36"/>
        <v>17.218256350495963</v>
      </c>
      <c r="AJ65" s="33">
        <f t="shared" si="37"/>
        <v>11.131309924411624</v>
      </c>
      <c r="AK65" s="39">
        <f t="shared" si="6"/>
        <v>1005.7353901878578</v>
      </c>
      <c r="AL65" s="36">
        <f t="shared" si="38"/>
        <v>606.79379702857182</v>
      </c>
      <c r="AM65" s="36">
        <f t="shared" si="39"/>
        <v>10.609483354841664</v>
      </c>
      <c r="AN65" s="37">
        <f t="shared" si="40"/>
        <v>26.258231551318669</v>
      </c>
      <c r="AO65" s="40">
        <f t="shared" si="7"/>
        <v>1703.2477267340178</v>
      </c>
      <c r="AP65" s="32">
        <f t="shared" si="56"/>
        <v>1129.1315003238433</v>
      </c>
      <c r="AQ65" s="32">
        <f t="shared" si="41"/>
        <v>27.605162692499576</v>
      </c>
      <c r="AR65" s="33">
        <f t="shared" si="42"/>
        <v>18.779014158317132</v>
      </c>
      <c r="AS65" s="33">
        <f t="shared" si="43"/>
        <v>12.073066061611179</v>
      </c>
      <c r="AT65" s="39">
        <f t="shared" si="8"/>
        <v>653.40965802658161</v>
      </c>
      <c r="AU65" s="36">
        <f t="shared" si="44"/>
        <v>4988.5991273824584</v>
      </c>
      <c r="AV65" s="36">
        <f t="shared" si="45"/>
        <v>55.61768424512357</v>
      </c>
      <c r="AW65" s="37">
        <f t="shared" si="46"/>
        <v>41.17980456656376</v>
      </c>
      <c r="AX65" s="40">
        <f t="shared" si="9"/>
        <v>259.44765388544454</v>
      </c>
      <c r="AY65" s="2">
        <f t="shared" si="57"/>
        <v>24.600210866946849</v>
      </c>
      <c r="AZ65" s="2">
        <f t="shared" si="47"/>
        <v>827.83269011601772</v>
      </c>
      <c r="BA65" s="2">
        <f t="shared" si="48"/>
        <v>961.33189777234645</v>
      </c>
      <c r="BB65" s="44">
        <f t="shared" si="60"/>
        <v>961.33189777234645</v>
      </c>
      <c r="BC65">
        <f t="shared" si="49"/>
        <v>258</v>
      </c>
      <c r="BD65" s="2">
        <f t="shared" si="50"/>
        <v>47.453429339061806</v>
      </c>
      <c r="BE65" s="2">
        <f t="shared" si="51"/>
        <v>769.06551821787718</v>
      </c>
      <c r="BF65" s="2">
        <f t="shared" si="10"/>
        <v>19.134987551742615</v>
      </c>
      <c r="BG65" s="24">
        <f t="shared" si="61"/>
        <v>0.40323719103671696</v>
      </c>
    </row>
    <row r="66" spans="1:59" x14ac:dyDescent="0.25">
      <c r="A66">
        <f t="shared" si="12"/>
        <v>264</v>
      </c>
      <c r="B66">
        <v>4.4000000000000004</v>
      </c>
      <c r="C66" s="2">
        <f t="shared" si="58"/>
        <v>961.33189777234645</v>
      </c>
      <c r="D66" s="2">
        <f t="shared" si="13"/>
        <v>26.19086023407975</v>
      </c>
      <c r="E66" s="2">
        <f t="shared" si="14"/>
        <v>1033.208295427133</v>
      </c>
      <c r="F66" s="25">
        <f t="shared" si="15"/>
        <v>85.112241399023091</v>
      </c>
      <c r="G66">
        <f t="shared" si="16"/>
        <v>4.724465625693553E-5</v>
      </c>
      <c r="H66">
        <f t="shared" si="17"/>
        <v>8.2368544561374518E-5</v>
      </c>
      <c r="I66" s="51">
        <f t="shared" si="59"/>
        <v>4.689929843206793E-5</v>
      </c>
      <c r="J66" s="28">
        <f t="shared" si="52"/>
        <v>0.10142720065620575</v>
      </c>
      <c r="K66" s="24">
        <f t="shared" si="53"/>
        <v>18.316380721778007</v>
      </c>
      <c r="L66" s="33">
        <f t="shared" si="54"/>
        <v>11.74604149270094</v>
      </c>
      <c r="M66" s="39">
        <f t="shared" si="55"/>
        <v>695.46271636113465</v>
      </c>
      <c r="N66" s="40">
        <f t="shared" si="18"/>
        <v>418.16326206462361</v>
      </c>
      <c r="O66" s="32">
        <f t="shared" si="19"/>
        <v>691.72971347853786</v>
      </c>
      <c r="P66" s="32">
        <f t="shared" si="20"/>
        <v>18.646529840968512</v>
      </c>
      <c r="Q66" s="33">
        <f t="shared" si="21"/>
        <v>17.224235371412686</v>
      </c>
      <c r="R66" s="33">
        <f t="shared" si="22"/>
        <v>11.134095155831702</v>
      </c>
      <c r="S66" s="39">
        <f t="shared" si="23"/>
        <v>984.66545877489909</v>
      </c>
      <c r="T66" s="36">
        <f t="shared" si="24"/>
        <v>609.42488371044169</v>
      </c>
      <c r="U66" s="36">
        <f t="shared" si="25"/>
        <v>12.464800987368509</v>
      </c>
      <c r="V66" s="37">
        <f t="shared" si="26"/>
        <v>22.700549753508163</v>
      </c>
      <c r="W66" s="40">
        <f t="shared" si="3"/>
        <v>1578.490339466332</v>
      </c>
      <c r="X66" s="32">
        <f t="shared" si="27"/>
        <v>1081.9839290742971</v>
      </c>
      <c r="Y66" s="32">
        <f t="shared" si="28"/>
        <v>26.928554741058591</v>
      </c>
      <c r="Z66" s="33">
        <f t="shared" si="29"/>
        <v>18.655603614655202</v>
      </c>
      <c r="AA66" s="33">
        <f t="shared" si="30"/>
        <v>11.981568036849218</v>
      </c>
      <c r="AB66" s="39">
        <f t="shared" si="4"/>
        <v>677.4278611845366</v>
      </c>
      <c r="AC66" s="36">
        <f t="shared" si="31"/>
        <v>3898.0297440825111</v>
      </c>
      <c r="AD66" s="36">
        <f t="shared" si="32"/>
        <v>49.807050753590985</v>
      </c>
      <c r="AE66" s="37">
        <f t="shared" si="33"/>
        <v>36.337568461450466</v>
      </c>
      <c r="AF66" s="40">
        <f t="shared" si="5"/>
        <v>312.23149376270607</v>
      </c>
      <c r="AG66" s="32">
        <f t="shared" si="34"/>
        <v>680.14536786202814</v>
      </c>
      <c r="AH66" s="32">
        <f t="shared" si="35"/>
        <v>18.192116876453575</v>
      </c>
      <c r="AI66" s="33">
        <f t="shared" si="36"/>
        <v>17.358813926475037</v>
      </c>
      <c r="AJ66" s="33">
        <f t="shared" si="37"/>
        <v>11.198318490941233</v>
      </c>
      <c r="AK66" s="39">
        <f t="shared" si="6"/>
        <v>1007.2128936609025</v>
      </c>
      <c r="AL66" s="36">
        <f t="shared" si="38"/>
        <v>606.73444020844681</v>
      </c>
      <c r="AM66" s="36">
        <f t="shared" si="39"/>
        <v>10.557984532559431</v>
      </c>
      <c r="AN66" s="37">
        <f t="shared" si="40"/>
        <v>26.682048356550339</v>
      </c>
      <c r="AO66" s="40">
        <f t="shared" si="7"/>
        <v>1718.9168143053241</v>
      </c>
      <c r="AP66" s="32">
        <f t="shared" si="56"/>
        <v>1132.5507981382784</v>
      </c>
      <c r="AQ66" s="32">
        <f t="shared" si="41"/>
        <v>27.652982123105872</v>
      </c>
      <c r="AR66" s="33">
        <f t="shared" si="42"/>
        <v>19.015916351644503</v>
      </c>
      <c r="AS66" s="33">
        <f t="shared" si="43"/>
        <v>12.257713003086316</v>
      </c>
      <c r="AT66" s="39">
        <f t="shared" si="8"/>
        <v>662.09752510584008</v>
      </c>
      <c r="AU66" s="36">
        <f t="shared" si="44"/>
        <v>5140.5796766265958</v>
      </c>
      <c r="AV66" s="36">
        <f t="shared" si="45"/>
        <v>56.372123278895806</v>
      </c>
      <c r="AW66" s="37">
        <f t="shared" si="46"/>
        <v>42.339842936803031</v>
      </c>
      <c r="AX66" s="40">
        <f t="shared" si="9"/>
        <v>255.5679859245798</v>
      </c>
      <c r="AY66" s="2">
        <f t="shared" si="57"/>
        <v>25.039322346562429</v>
      </c>
      <c r="AZ66" s="2">
        <f t="shared" si="47"/>
        <v>832.85093468154457</v>
      </c>
      <c r="BA66" s="2">
        <f t="shared" si="48"/>
        <v>966.30165836473543</v>
      </c>
      <c r="BB66" s="44">
        <f t="shared" si="60"/>
        <v>966.30165836473543</v>
      </c>
      <c r="BC66">
        <f t="shared" si="49"/>
        <v>264</v>
      </c>
      <c r="BD66" s="2">
        <f t="shared" si="50"/>
        <v>46.89929843206793</v>
      </c>
      <c r="BE66" s="2">
        <f t="shared" si="51"/>
        <v>773.04132669178841</v>
      </c>
      <c r="BF66" s="2">
        <f t="shared" si="10"/>
        <v>18.744983230609286</v>
      </c>
      <c r="BG66" s="24">
        <f t="shared" si="61"/>
        <v>0.39968579184101805</v>
      </c>
    </row>
    <row r="67" spans="1:59" x14ac:dyDescent="0.25">
      <c r="A67">
        <f t="shared" si="12"/>
        <v>270</v>
      </c>
      <c r="B67">
        <v>4.5</v>
      </c>
      <c r="C67" s="2">
        <f t="shared" si="58"/>
        <v>966.30165836473543</v>
      </c>
      <c r="D67" s="2">
        <f t="shared" si="13"/>
        <v>26.34695790867621</v>
      </c>
      <c r="E67" s="2">
        <f t="shared" si="14"/>
        <v>1043.3002937201136</v>
      </c>
      <c r="F67" s="25">
        <f t="shared" si="15"/>
        <v>87.376087794697028</v>
      </c>
      <c r="G67">
        <f t="shared" si="16"/>
        <v>4.662860358122809E-5</v>
      </c>
      <c r="H67">
        <f t="shared" si="17"/>
        <v>8.129448949797858E-5</v>
      </c>
      <c r="I67" s="51">
        <f t="shared" si="59"/>
        <v>4.6362270900369961E-5</v>
      </c>
      <c r="J67" s="28">
        <f t="shared" si="52"/>
        <v>0.10036775548189752</v>
      </c>
      <c r="K67" s="24">
        <f t="shared" si="53"/>
        <v>18.588253396555693</v>
      </c>
      <c r="L67" s="33">
        <f t="shared" si="54"/>
        <v>11.932960206603219</v>
      </c>
      <c r="M67" s="39">
        <f t="shared" si="55"/>
        <v>700.4070157950398</v>
      </c>
      <c r="N67" s="40">
        <f t="shared" si="18"/>
        <v>417.6046342329355</v>
      </c>
      <c r="O67" s="32">
        <f t="shared" si="19"/>
        <v>695.11184123744579</v>
      </c>
      <c r="P67" s="32">
        <f t="shared" si="20"/>
        <v>18.772380758186319</v>
      </c>
      <c r="Q67" s="33">
        <f t="shared" si="21"/>
        <v>17.381812649892545</v>
      </c>
      <c r="R67" s="33">
        <f t="shared" si="22"/>
        <v>11.209590548331512</v>
      </c>
      <c r="S67" s="39">
        <f t="shared" si="23"/>
        <v>987.52179077714686</v>
      </c>
      <c r="T67" s="36">
        <f t="shared" si="24"/>
        <v>609.39697569595126</v>
      </c>
      <c r="U67" s="36">
        <f t="shared" si="25"/>
        <v>12.454086170135055</v>
      </c>
      <c r="V67" s="37">
        <f t="shared" si="26"/>
        <v>22.969321175561749</v>
      </c>
      <c r="W67" s="40">
        <f t="shared" si="3"/>
        <v>1589.4948617052291</v>
      </c>
      <c r="X67" s="32">
        <f t="shared" si="27"/>
        <v>1088.2005420550033</v>
      </c>
      <c r="Y67" s="32">
        <f t="shared" si="28"/>
        <v>27.019696002740254</v>
      </c>
      <c r="Z67" s="33">
        <f t="shared" si="29"/>
        <v>18.905501906298817</v>
      </c>
      <c r="AA67" s="33">
        <f t="shared" si="30"/>
        <v>12.170161746343631</v>
      </c>
      <c r="AB67" s="39">
        <f t="shared" si="4"/>
        <v>684.85564092428012</v>
      </c>
      <c r="AC67" s="36">
        <f t="shared" si="31"/>
        <v>3985.9643986534961</v>
      </c>
      <c r="AD67" s="36">
        <f t="shared" si="32"/>
        <v>50.305571394283398</v>
      </c>
      <c r="AE67" s="37">
        <f t="shared" si="33"/>
        <v>37.194357519311708</v>
      </c>
      <c r="AF67" s="40">
        <f t="shared" si="5"/>
        <v>309.23629259923337</v>
      </c>
      <c r="AG67" s="32">
        <f t="shared" si="34"/>
        <v>684.77553069170085</v>
      </c>
      <c r="AH67" s="32">
        <f t="shared" si="35"/>
        <v>18.378387581621467</v>
      </c>
      <c r="AI67" s="33">
        <f t="shared" si="36"/>
        <v>17.49043292038661</v>
      </c>
      <c r="AJ67" s="33">
        <f t="shared" si="37"/>
        <v>11.26401744466974</v>
      </c>
      <c r="AK67" s="39">
        <f t="shared" si="6"/>
        <v>1007.295064842961</v>
      </c>
      <c r="AL67" s="36">
        <f t="shared" si="38"/>
        <v>606.67395347340369</v>
      </c>
      <c r="AM67" s="36">
        <f t="shared" si="39"/>
        <v>10.50772374152228</v>
      </c>
      <c r="AN67" s="37">
        <f t="shared" si="40"/>
        <v>27.102317930035152</v>
      </c>
      <c r="AO67" s="40">
        <f t="shared" si="7"/>
        <v>1734.33588775148</v>
      </c>
      <c r="AP67" s="32">
        <f t="shared" si="56"/>
        <v>1132.7414021659556</v>
      </c>
      <c r="AQ67" s="32">
        <f t="shared" si="41"/>
        <v>27.65564303051611</v>
      </c>
      <c r="AR67" s="33">
        <f t="shared" si="42"/>
        <v>19.226788357606189</v>
      </c>
      <c r="AS67" s="33">
        <f t="shared" si="43"/>
        <v>12.432316747479646</v>
      </c>
      <c r="AT67" s="39">
        <f t="shared" si="8"/>
        <v>672.09848575853869</v>
      </c>
      <c r="AU67" s="36">
        <f t="shared" si="44"/>
        <v>5293.5326951602674</v>
      </c>
      <c r="AV67" s="36">
        <f t="shared" si="45"/>
        <v>57.11989329899793</v>
      </c>
      <c r="AW67" s="37">
        <f t="shared" si="46"/>
        <v>43.50287350725101</v>
      </c>
      <c r="AX67" s="40">
        <f t="shared" si="9"/>
        <v>251.82492605993949</v>
      </c>
      <c r="AY67" s="2">
        <f t="shared" si="57"/>
        <v>25.471675745792972</v>
      </c>
      <c r="AZ67" s="2">
        <f t="shared" si="47"/>
        <v>837.94274557573158</v>
      </c>
      <c r="BA67" s="2">
        <f t="shared" si="48"/>
        <v>971.22299202897045</v>
      </c>
      <c r="BB67" s="44">
        <f t="shared" si="60"/>
        <v>971.22299202897045</v>
      </c>
      <c r="BC67">
        <f t="shared" si="49"/>
        <v>270</v>
      </c>
      <c r="BD67" s="2">
        <f t="shared" si="50"/>
        <v>46.362270900369964</v>
      </c>
      <c r="BE67" s="2">
        <f t="shared" si="51"/>
        <v>776.97839362317643</v>
      </c>
      <c r="BF67" s="2">
        <f t="shared" si="10"/>
        <v>18.372401901785434</v>
      </c>
      <c r="BG67" s="24">
        <f t="shared" si="61"/>
        <v>0.3962791628836892</v>
      </c>
    </row>
    <row r="68" spans="1:59" x14ac:dyDescent="0.25">
      <c r="A68">
        <f t="shared" si="12"/>
        <v>276</v>
      </c>
      <c r="B68">
        <v>4.5999999999999996</v>
      </c>
      <c r="C68" s="2">
        <f t="shared" si="58"/>
        <v>971.22299202897045</v>
      </c>
      <c r="D68" s="2">
        <f t="shared" si="13"/>
        <v>26.502079704476394</v>
      </c>
      <c r="E68" s="2">
        <f t="shared" si="14"/>
        <v>1053.4510364366697</v>
      </c>
      <c r="F68" s="25">
        <f t="shared" si="15"/>
        <v>89.658911168480415</v>
      </c>
      <c r="G68">
        <f t="shared" si="16"/>
        <v>4.6031166117163258E-5</v>
      </c>
      <c r="H68">
        <f t="shared" si="17"/>
        <v>8.0252889065670751E-5</v>
      </c>
      <c r="I68" s="3">
        <f t="shared" si="59"/>
        <v>4.5841470684216046E-5</v>
      </c>
      <c r="J68" s="28">
        <f t="shared" si="52"/>
        <v>9.9337646432579543E-2</v>
      </c>
      <c r="K68" s="24">
        <f t="shared" si="53"/>
        <v>18.859635330343032</v>
      </c>
      <c r="L68" s="33">
        <f t="shared" si="54"/>
        <v>12.13456130175971</v>
      </c>
      <c r="M68" s="39">
        <f t="shared" si="55"/>
        <v>706.06902944916783</v>
      </c>
      <c r="N68" s="40">
        <f t="shared" si="18"/>
        <v>416.99749865532732</v>
      </c>
      <c r="O68" s="32">
        <f t="shared" si="19"/>
        <v>699.09687635902378</v>
      </c>
      <c r="P68" s="32">
        <f t="shared" si="20"/>
        <v>18.917172781880474</v>
      </c>
      <c r="Q68" s="33">
        <f t="shared" si="21"/>
        <v>17.533960470306784</v>
      </c>
      <c r="R68" s="33">
        <f t="shared" si="22"/>
        <v>11.286385506443647</v>
      </c>
      <c r="S68" s="39">
        <f t="shared" si="23"/>
        <v>989.5892199674837</v>
      </c>
      <c r="T68" s="36">
        <f t="shared" si="24"/>
        <v>609.36693608993619</v>
      </c>
      <c r="U68" s="36">
        <f t="shared" si="25"/>
        <v>12.442448872305071</v>
      </c>
      <c r="V68" s="37">
        <f t="shared" si="26"/>
        <v>23.236564210310128</v>
      </c>
      <c r="W68" s="40">
        <f t="shared" si="3"/>
        <v>1600.3619806306428</v>
      </c>
      <c r="X68" s="32">
        <f t="shared" si="27"/>
        <v>1092.7341065801388</v>
      </c>
      <c r="Y68" s="32">
        <f t="shared" si="28"/>
        <v>27.085778571970245</v>
      </c>
      <c r="Z68" s="33">
        <f t="shared" si="29"/>
        <v>19.141328067277485</v>
      </c>
      <c r="AA68" s="33">
        <f t="shared" si="30"/>
        <v>12.360371543682952</v>
      </c>
      <c r="AB68" s="39">
        <f t="shared" si="4"/>
        <v>693.35310382323496</v>
      </c>
      <c r="AC68" s="36">
        <f t="shared" si="31"/>
        <v>4074.3279317265487</v>
      </c>
      <c r="AD68" s="36">
        <f t="shared" si="32"/>
        <v>50.800529503130896</v>
      </c>
      <c r="AE68" s="37">
        <f t="shared" si="33"/>
        <v>38.052801375547787</v>
      </c>
      <c r="AF68" s="40">
        <f t="shared" si="5"/>
        <v>306.30105358695982</v>
      </c>
      <c r="AG68" s="32">
        <f t="shared" si="34"/>
        <v>690.31406100895038</v>
      </c>
      <c r="AH68" s="32">
        <f t="shared" si="35"/>
        <v>18.592998977254879</v>
      </c>
      <c r="AI68" s="33">
        <f t="shared" si="36"/>
        <v>17.615548327294182</v>
      </c>
      <c r="AJ68" s="33">
        <f t="shared" si="37"/>
        <v>11.329183989615032</v>
      </c>
      <c r="AK68" s="39">
        <f t="shared" si="6"/>
        <v>1005.9800019096199</v>
      </c>
      <c r="AL68" s="36">
        <f t="shared" si="38"/>
        <v>606.6121794391629</v>
      </c>
      <c r="AM68" s="36">
        <f t="shared" si="39"/>
        <v>10.45866410302294</v>
      </c>
      <c r="AN68" s="37">
        <f t="shared" si="40"/>
        <v>27.519073145819497</v>
      </c>
      <c r="AO68" s="40">
        <f t="shared" si="7"/>
        <v>1749.5120188756548</v>
      </c>
      <c r="AP68" s="32">
        <f t="shared" si="56"/>
        <v>1129.6965554515386</v>
      </c>
      <c r="AQ68" s="32">
        <f t="shared" si="41"/>
        <v>27.613076178263753</v>
      </c>
      <c r="AR68" s="33">
        <f t="shared" si="42"/>
        <v>19.41091042746309</v>
      </c>
      <c r="AS68" s="33">
        <f t="shared" si="43"/>
        <v>12.59290473178055</v>
      </c>
      <c r="AT68" s="39">
        <f t="shared" si="8"/>
        <v>683.28447054896139</v>
      </c>
      <c r="AU68" s="36">
        <f t="shared" si="44"/>
        <v>5447.4034241980571</v>
      </c>
      <c r="AV68" s="36">
        <f t="shared" si="45"/>
        <v>57.86108183229107</v>
      </c>
      <c r="AW68" s="37">
        <f t="shared" si="46"/>
        <v>44.6685527895497</v>
      </c>
      <c r="AX68" s="40">
        <f t="shared" si="9"/>
        <v>248.21187563011199</v>
      </c>
      <c r="AY68" s="2">
        <f t="shared" si="57"/>
        <v>25.897342351696082</v>
      </c>
      <c r="AZ68" s="2">
        <f t="shared" si="47"/>
        <v>843.05169906232493</v>
      </c>
      <c r="BA68" s="2">
        <f t="shared" si="48"/>
        <v>976.09673218084242</v>
      </c>
      <c r="BB68" s="44">
        <f t="shared" si="60"/>
        <v>976.09673218084242</v>
      </c>
      <c r="BC68">
        <f t="shared" si="49"/>
        <v>276</v>
      </c>
      <c r="BD68" s="2">
        <f t="shared" si="50"/>
        <v>45.841470684216048</v>
      </c>
      <c r="BE68" s="2">
        <f t="shared" si="51"/>
        <v>780.87738574467403</v>
      </c>
      <c r="BF68" s="2">
        <f t="shared" si="10"/>
        <v>18.016106433708831</v>
      </c>
      <c r="BG68" s="24">
        <f t="shared" si="61"/>
        <v>0.39300891015942174</v>
      </c>
    </row>
    <row r="69" spans="1:59" x14ac:dyDescent="0.25">
      <c r="A69">
        <f t="shared" si="12"/>
        <v>282</v>
      </c>
      <c r="B69">
        <v>4.7</v>
      </c>
      <c r="C69" s="2">
        <f t="shared" si="58"/>
        <v>976.09673218084242</v>
      </c>
      <c r="D69" s="2">
        <f t="shared" si="13"/>
        <v>26.656236012446008</v>
      </c>
      <c r="E69" s="2">
        <f t="shared" si="14"/>
        <v>1063.6588728142751</v>
      </c>
      <c r="F69" s="25">
        <f t="shared" si="15"/>
        <v>91.960776556153519</v>
      </c>
      <c r="G69">
        <f t="shared" si="16"/>
        <v>4.5451413329747716E-5</v>
      </c>
      <c r="H69">
        <f t="shared" si="17"/>
        <v>7.9242120926198726E-5</v>
      </c>
      <c r="I69" s="3">
        <f t="shared" si="59"/>
        <v>4.5336086614480034E-5</v>
      </c>
      <c r="J69" s="28">
        <f t="shared" si="52"/>
        <v>9.8335470120313725E-2</v>
      </c>
      <c r="K69" s="24">
        <f t="shared" si="53"/>
        <v>19.130571654063584</v>
      </c>
      <c r="L69" s="33">
        <f t="shared" si="54"/>
        <v>12.351431097317828</v>
      </c>
      <c r="M69" s="39">
        <f t="shared" si="55"/>
        <v>712.464442970508</v>
      </c>
      <c r="N69" s="40">
        <f t="shared" si="18"/>
        <v>416.34524667687975</v>
      </c>
      <c r="O69" s="32">
        <f t="shared" si="19"/>
        <v>703.74409593833502</v>
      </c>
      <c r="P69" s="32">
        <f t="shared" si="20"/>
        <v>19.081583353939884</v>
      </c>
      <c r="Q69" s="33">
        <f t="shared" si="21"/>
        <v>17.681730258498984</v>
      </c>
      <c r="R69" s="33">
        <f t="shared" si="22"/>
        <v>11.364746164398959</v>
      </c>
      <c r="S69" s="39">
        <f t="shared" si="23"/>
        <v>990.81656279332378</v>
      </c>
      <c r="T69" s="36">
        <f t="shared" si="24"/>
        <v>609.3350002998169</v>
      </c>
      <c r="U69" s="36">
        <f t="shared" si="25"/>
        <v>12.429956003987797</v>
      </c>
      <c r="V69" s="37">
        <f t="shared" si="26"/>
        <v>23.502331015191846</v>
      </c>
      <c r="W69" s="40">
        <f t="shared" si="3"/>
        <v>1611.0957218656906</v>
      </c>
      <c r="X69" s="32">
        <f t="shared" si="27"/>
        <v>1095.4390139274021</v>
      </c>
      <c r="Y69" s="32">
        <f t="shared" si="28"/>
        <v>27.125054211012895</v>
      </c>
      <c r="Z69" s="33">
        <f t="shared" si="29"/>
        <v>19.361633489715718</v>
      </c>
      <c r="AA69" s="33">
        <f t="shared" si="30"/>
        <v>12.549171046364116</v>
      </c>
      <c r="AB69" s="39">
        <f t="shared" si="4"/>
        <v>702.87017737067549</v>
      </c>
      <c r="AC69" s="36">
        <f t="shared" si="31"/>
        <v>4163.1092881878985</v>
      </c>
      <c r="AD69" s="36">
        <f t="shared" si="32"/>
        <v>51.292009548877111</v>
      </c>
      <c r="AE69" s="37">
        <f t="shared" si="33"/>
        <v>38.912801880562171</v>
      </c>
      <c r="AF69" s="40">
        <f t="shared" si="5"/>
        <v>303.42435634141094</v>
      </c>
      <c r="AG69" s="32">
        <f t="shared" si="34"/>
        <v>696.8306728846826</v>
      </c>
      <c r="AH69" s="32">
        <f t="shared" si="35"/>
        <v>18.835281787635388</v>
      </c>
      <c r="AI69" s="33">
        <f t="shared" si="36"/>
        <v>17.736974537113227</v>
      </c>
      <c r="AJ69" s="33">
        <f t="shared" si="37"/>
        <v>11.395018000338901</v>
      </c>
      <c r="AK69" s="39">
        <f t="shared" si="6"/>
        <v>1003.3120738583804</v>
      </c>
      <c r="AL69" s="36">
        <f t="shared" si="38"/>
        <v>606.54898620257904</v>
      </c>
      <c r="AM69" s="36">
        <f t="shared" si="39"/>
        <v>10.41077018751009</v>
      </c>
      <c r="AN69" s="37">
        <f t="shared" si="40"/>
        <v>27.932346886612407</v>
      </c>
      <c r="AO69" s="40">
        <f t="shared" si="7"/>
        <v>1764.4519338830157</v>
      </c>
      <c r="AP69" s="32">
        <f t="shared" si="56"/>
        <v>1123.5557672208063</v>
      </c>
      <c r="AQ69" s="32">
        <f t="shared" si="41"/>
        <v>27.526837881849339</v>
      </c>
      <c r="AR69" s="33">
        <f t="shared" si="42"/>
        <v>19.568733267117306</v>
      </c>
      <c r="AS69" s="33">
        <f t="shared" si="43"/>
        <v>12.736747563954488</v>
      </c>
      <c r="AT69" s="39">
        <f t="shared" si="8"/>
        <v>695.52411155471987</v>
      </c>
      <c r="AU69" s="36">
        <f t="shared" si="44"/>
        <v>5602.1387271091189</v>
      </c>
      <c r="AV69" s="36">
        <f t="shared" si="45"/>
        <v>58.595773012946573</v>
      </c>
      <c r="AW69" s="37">
        <f t="shared" si="46"/>
        <v>45.836555765946812</v>
      </c>
      <c r="AX69" s="40">
        <f t="shared" si="9"/>
        <v>244.72262868526101</v>
      </c>
      <c r="AY69" s="2">
        <f t="shared" si="57"/>
        <v>26.316638387594814</v>
      </c>
      <c r="AZ69" s="2">
        <f t="shared" si="47"/>
        <v>848.13073139427502</v>
      </c>
      <c r="BA69" s="2">
        <f t="shared" si="48"/>
        <v>980.92366019384463</v>
      </c>
      <c r="BB69" s="44">
        <f t="shared" si="60"/>
        <v>980.92366019384463</v>
      </c>
      <c r="BC69">
        <f t="shared" si="49"/>
        <v>282</v>
      </c>
      <c r="BD69" s="2">
        <f t="shared" si="50"/>
        <v>45.336086614480031</v>
      </c>
      <c r="BE69" s="2">
        <f t="shared" si="51"/>
        <v>784.73892815507577</v>
      </c>
      <c r="BF69" s="2">
        <f t="shared" si="10"/>
        <v>17.674975421372832</v>
      </c>
      <c r="BG69" s="24">
        <f t="shared" si="61"/>
        <v>0.3898654855606255</v>
      </c>
    </row>
    <row r="70" spans="1:59" x14ac:dyDescent="0.25">
      <c r="A70">
        <f t="shared" si="12"/>
        <v>288</v>
      </c>
      <c r="B70">
        <v>4.8</v>
      </c>
      <c r="C70" s="2">
        <f t="shared" si="58"/>
        <v>980.92366019384463</v>
      </c>
      <c r="D70" s="2">
        <f t="shared" si="13"/>
        <v>26.809436086938156</v>
      </c>
      <c r="E70" s="2">
        <f t="shared" si="14"/>
        <v>1073.9221207226165</v>
      </c>
      <c r="F70" s="25">
        <f t="shared" si="15"/>
        <v>94.281737219907953</v>
      </c>
      <c r="G70">
        <f t="shared" si="16"/>
        <v>4.4888482018795315E-5</v>
      </c>
      <c r="H70">
        <f t="shared" si="17"/>
        <v>7.8260680135963973E-5</v>
      </c>
      <c r="I70" s="3">
        <f t="shared" si="59"/>
        <v>4.4845366219362658E-5</v>
      </c>
      <c r="J70" s="28">
        <f t="shared" si="52"/>
        <v>9.7359922589782086E-2</v>
      </c>
      <c r="K70" s="24">
        <f t="shared" si="53"/>
        <v>19.40110380904736</v>
      </c>
      <c r="L70" s="33">
        <f t="shared" si="54"/>
        <v>12.584156929068115</v>
      </c>
      <c r="M70" s="39">
        <f t="shared" si="55"/>
        <v>719.60818652835235</v>
      </c>
      <c r="N70" s="40">
        <f t="shared" si="18"/>
        <v>415.65107852931988</v>
      </c>
      <c r="O70" s="32">
        <f t="shared" si="19"/>
        <v>709.12139337027634</v>
      </c>
      <c r="P70" s="32">
        <f t="shared" si="20"/>
        <v>19.26631494343701</v>
      </c>
      <c r="Q70" s="33">
        <f t="shared" si="21"/>
        <v>17.826384218715468</v>
      </c>
      <c r="R70" s="33">
        <f t="shared" si="22"/>
        <v>11.445157148354664</v>
      </c>
      <c r="S70" s="39">
        <f t="shared" si="23"/>
        <v>991.1649375021841</v>
      </c>
      <c r="T70" s="36">
        <f t="shared" si="24"/>
        <v>609.30139145401699</v>
      </c>
      <c r="U70" s="36">
        <f t="shared" si="25"/>
        <v>12.416670764882895</v>
      </c>
      <c r="V70" s="37">
        <f t="shared" si="26"/>
        <v>23.766669922667287</v>
      </c>
      <c r="W70" s="40">
        <f t="shared" si="3"/>
        <v>1621.6998374644547</v>
      </c>
      <c r="X70" s="32">
        <f t="shared" si="27"/>
        <v>1096.2086271478418</v>
      </c>
      <c r="Y70" s="32">
        <f t="shared" si="28"/>
        <v>27.136208539608987</v>
      </c>
      <c r="Z70" s="33">
        <f t="shared" si="29"/>
        <v>19.565248935478717</v>
      </c>
      <c r="AA70" s="33">
        <f t="shared" si="30"/>
        <v>12.733509208957102</v>
      </c>
      <c r="AB70" s="39">
        <f t="shared" si="4"/>
        <v>713.34504532651249</v>
      </c>
      <c r="AC70" s="36">
        <f t="shared" si="31"/>
        <v>4252.297080375326</v>
      </c>
      <c r="AD70" s="36">
        <f t="shared" si="32"/>
        <v>51.780088467622022</v>
      </c>
      <c r="AE70" s="37">
        <f t="shared" si="33"/>
        <v>39.774262950357027</v>
      </c>
      <c r="AF70" s="40">
        <f t="shared" si="5"/>
        <v>300.60482545996308</v>
      </c>
      <c r="AG70" s="32">
        <f t="shared" si="34"/>
        <v>704.39625780330562</v>
      </c>
      <c r="AH70" s="32">
        <f t="shared" si="35"/>
        <v>19.104293266455457</v>
      </c>
      <c r="AI70" s="33">
        <f t="shared" si="36"/>
        <v>17.857776951225908</v>
      </c>
      <c r="AJ70" s="33">
        <f t="shared" si="37"/>
        <v>11.463101084133118</v>
      </c>
      <c r="AK70" s="39">
        <f t="shared" si="6"/>
        <v>999.37812729965538</v>
      </c>
      <c r="AL70" s="36">
        <f t="shared" si="38"/>
        <v>606.48426487130178</v>
      </c>
      <c r="AM70" s="36">
        <f t="shared" si="39"/>
        <v>10.364007910222764</v>
      </c>
      <c r="AN70" s="37">
        <f t="shared" si="40"/>
        <v>28.342172194422677</v>
      </c>
      <c r="AO70" s="40">
        <f t="shared" si="7"/>
        <v>1779.1620413618862</v>
      </c>
      <c r="AP70" s="32">
        <f t="shared" si="56"/>
        <v>1114.5896634262012</v>
      </c>
      <c r="AQ70" s="32">
        <f t="shared" si="41"/>
        <v>27.399967592922238</v>
      </c>
      <c r="AR70" s="33">
        <f t="shared" si="42"/>
        <v>19.701817525456406</v>
      </c>
      <c r="AS70" s="33">
        <f t="shared" si="43"/>
        <v>12.862582570127636</v>
      </c>
      <c r="AT70" s="39">
        <f t="shared" si="8"/>
        <v>708.69264013789189</v>
      </c>
      <c r="AU70" s="36">
        <f t="shared" si="44"/>
        <v>5757.6870713426952</v>
      </c>
      <c r="AV70" s="36">
        <f t="shared" si="45"/>
        <v>59.324048023711256</v>
      </c>
      <c r="AW70" s="37">
        <f t="shared" si="46"/>
        <v>47.006575141781042</v>
      </c>
      <c r="AX70" s="40">
        <f t="shared" si="9"/>
        <v>241.35134500125287</v>
      </c>
      <c r="AY70" s="2">
        <f t="shared" si="57"/>
        <v>26.730113480013063</v>
      </c>
      <c r="AZ70" s="2">
        <f t="shared" si="47"/>
        <v>853.14518756656094</v>
      </c>
      <c r="BA70" s="2">
        <f t="shared" si="48"/>
        <v>985.7045123218893</v>
      </c>
      <c r="BB70" s="44">
        <f t="shared" si="60"/>
        <v>985.7045123218893</v>
      </c>
      <c r="BC70">
        <f t="shared" si="49"/>
        <v>288</v>
      </c>
      <c r="BD70" s="2">
        <f t="shared" si="50"/>
        <v>44.84536621936266</v>
      </c>
      <c r="BE70" s="2">
        <f t="shared" si="51"/>
        <v>788.56360985751144</v>
      </c>
      <c r="BF70" s="2">
        <f t="shared" si="10"/>
        <v>17.347910357569098</v>
      </c>
      <c r="BG70" s="24">
        <f t="shared" si="61"/>
        <v>0.38683841431266713</v>
      </c>
    </row>
    <row r="71" spans="1:59" x14ac:dyDescent="0.25">
      <c r="A71">
        <f t="shared" si="12"/>
        <v>294</v>
      </c>
      <c r="B71">
        <v>4.9000000000000004</v>
      </c>
      <c r="C71" s="2">
        <f t="shared" si="58"/>
        <v>985.7045123218893</v>
      </c>
      <c r="D71" s="2">
        <f t="shared" si="13"/>
        <v>26.961688229852371</v>
      </c>
      <c r="E71" s="2">
        <f t="shared" si="14"/>
        <v>1084.2390745998498</v>
      </c>
      <c r="F71" s="25">
        <f t="shared" si="15"/>
        <v>96.62183518572084</v>
      </c>
      <c r="G71">
        <f t="shared" si="16"/>
        <v>4.4341570022844554E-5</v>
      </c>
      <c r="H71">
        <f t="shared" si="17"/>
        <v>7.7307168169136884E-5</v>
      </c>
      <c r="I71" s="3">
        <f t="shared" si="59"/>
        <v>4.4368610235949113E-5</v>
      </c>
      <c r="J71" s="28">
        <f t="shared" si="52"/>
        <v>9.6409790156322117E-2</v>
      </c>
      <c r="K71" s="24">
        <f t="shared" si="53"/>
        <v>19.671269838137562</v>
      </c>
      <c r="L71" s="33">
        <f t="shared" si="54"/>
        <v>12.833327291633246</v>
      </c>
      <c r="M71" s="39">
        <f t="shared" si="55"/>
        <v>727.51447862111513</v>
      </c>
      <c r="N71" s="40">
        <f t="shared" si="18"/>
        <v>414.91801402665914</v>
      </c>
      <c r="O71" s="32">
        <f t="shared" si="19"/>
        <v>715.30624731815612</v>
      </c>
      <c r="P71" s="32">
        <f t="shared" si="20"/>
        <v>19.472098126016903</v>
      </c>
      <c r="Q71" s="33">
        <f t="shared" si="21"/>
        <v>17.96940480118279</v>
      </c>
      <c r="R71" s="33">
        <f t="shared" si="22"/>
        <v>11.528355928901906</v>
      </c>
      <c r="S71" s="39">
        <f t="shared" si="23"/>
        <v>990.6101729264866</v>
      </c>
      <c r="T71" s="36">
        <f t="shared" si="24"/>
        <v>609.26632023004868</v>
      </c>
      <c r="U71" s="36">
        <f t="shared" si="25"/>
        <v>12.402652831416656</v>
      </c>
      <c r="V71" s="37">
        <f t="shared" si="26"/>
        <v>24.029625787503445</v>
      </c>
      <c r="W71" s="40">
        <f t="shared" si="3"/>
        <v>1632.1778333563923</v>
      </c>
      <c r="X71" s="32">
        <f t="shared" si="27"/>
        <v>1094.9834509491488</v>
      </c>
      <c r="Y71" s="32">
        <f t="shared" si="28"/>
        <v>27.118447262839069</v>
      </c>
      <c r="Z71" s="33">
        <f t="shared" si="29"/>
        <v>19.751367053101113</v>
      </c>
      <c r="AA71" s="33">
        <f t="shared" si="30"/>
        <v>12.910510370714427</v>
      </c>
      <c r="AB71" s="39">
        <f t="shared" si="4"/>
        <v>724.70837553987189</v>
      </c>
      <c r="AC71" s="36">
        <f t="shared" si="31"/>
        <v>4341.8796422684827</v>
      </c>
      <c r="AD71" s="36">
        <f t="shared" si="32"/>
        <v>52.264836496199401</v>
      </c>
      <c r="AE71" s="37">
        <f t="shared" si="33"/>
        <v>40.637090679969177</v>
      </c>
      <c r="AF71" s="40">
        <f t="shared" si="5"/>
        <v>297.84112689990496</v>
      </c>
      <c r="AG71" s="32">
        <f t="shared" si="34"/>
        <v>713.08272556699876</v>
      </c>
      <c r="AH71" s="32">
        <f t="shared" si="35"/>
        <v>19.398901219071114</v>
      </c>
      <c r="AI71" s="33">
        <f t="shared" si="36"/>
        <v>17.981139394553502</v>
      </c>
      <c r="AJ71" s="33">
        <f t="shared" si="37"/>
        <v>11.535348235491828</v>
      </c>
      <c r="AK71" s="39">
        <f t="shared" si="6"/>
        <v>994.30178519051242</v>
      </c>
      <c r="AL71" s="36">
        <f t="shared" si="38"/>
        <v>606.41792730161046</v>
      </c>
      <c r="AM71" s="36">
        <f t="shared" si="39"/>
        <v>10.318344439134727</v>
      </c>
      <c r="AN71" s="37">
        <f t="shared" si="40"/>
        <v>28.748582390141543</v>
      </c>
      <c r="AO71" s="40">
        <f t="shared" si="7"/>
        <v>1793.6484573372993</v>
      </c>
      <c r="AP71" s="32">
        <f t="shared" si="56"/>
        <v>1103.1751328167354</v>
      </c>
      <c r="AQ71" s="32">
        <f t="shared" si="41"/>
        <v>27.23676717894088</v>
      </c>
      <c r="AR71" s="33">
        <f t="shared" si="42"/>
        <v>19.812684726173913</v>
      </c>
      <c r="AS71" s="33">
        <f t="shared" si="43"/>
        <v>12.970639177534366</v>
      </c>
      <c r="AT71" s="39">
        <f t="shared" si="8"/>
        <v>722.67717740764647</v>
      </c>
      <c r="AU71" s="36">
        <f t="shared" si="44"/>
        <v>5913.9985101141947</v>
      </c>
      <c r="AV71" s="36">
        <f t="shared" si="45"/>
        <v>60.045985482347184</v>
      </c>
      <c r="AW71" s="37">
        <f t="shared" si="46"/>
        <v>48.178320620033944</v>
      </c>
      <c r="AX71" s="40">
        <f t="shared" si="9"/>
        <v>238.09252504726393</v>
      </c>
      <c r="AY71" s="2">
        <f t="shared" si="57"/>
        <v>27.138526931582426</v>
      </c>
      <c r="AZ71" s="2">
        <f t="shared" si="47"/>
        <v>858.07437776612937</v>
      </c>
      <c r="BA71" s="2">
        <f t="shared" si="48"/>
        <v>990.43998566021514</v>
      </c>
      <c r="BB71" s="44">
        <f t="shared" si="60"/>
        <v>990.43998566021514</v>
      </c>
      <c r="BC71">
        <f t="shared" si="49"/>
        <v>294</v>
      </c>
      <c r="BD71" s="2">
        <f t="shared" si="50"/>
        <v>44.368610235949113</v>
      </c>
      <c r="BE71" s="2">
        <f t="shared" si="51"/>
        <v>792.35198852817211</v>
      </c>
      <c r="BF71" s="2">
        <f t="shared" si="10"/>
        <v>17.033844794500325</v>
      </c>
      <c r="BG71" s="24">
        <f t="shared" si="61"/>
        <v>0.38391657308884708</v>
      </c>
    </row>
    <row r="72" spans="1:59" x14ac:dyDescent="0.25">
      <c r="A72">
        <f t="shared" si="12"/>
        <v>1020</v>
      </c>
      <c r="B72">
        <v>17</v>
      </c>
      <c r="C72" s="2">
        <f t="shared" si="58"/>
        <v>990.43998566021514</v>
      </c>
      <c r="D72" s="2">
        <f t="shared" si="13"/>
        <v>27.112999949362916</v>
      </c>
      <c r="E72" s="2">
        <f t="shared" si="14"/>
        <v>1094.608012548151</v>
      </c>
      <c r="F72" s="25">
        <f t="shared" si="15"/>
        <v>336.53574603496327</v>
      </c>
      <c r="G72">
        <f t="shared" si="16"/>
        <v>2.3759270769329705E-5</v>
      </c>
      <c r="H72">
        <f t="shared" si="17"/>
        <v>4.1423024489081898E-5</v>
      </c>
      <c r="I72" s="3">
        <f t="shared" si="59"/>
        <v>2.642653839592162E-5</v>
      </c>
      <c r="J72" s="28">
        <f t="shared" si="52"/>
        <v>5.8524642582478317E-2</v>
      </c>
      <c r="K72" s="24">
        <f t="shared" si="53"/>
        <v>40.808700725621208</v>
      </c>
      <c r="L72" s="33">
        <f t="shared" si="54"/>
        <v>135.93885260112552</v>
      </c>
      <c r="M72" s="39">
        <f t="shared" si="55"/>
        <v>7779.7489277474833</v>
      </c>
      <c r="N72" s="40">
        <f t="shared" si="18"/>
        <v>603.31217214449259</v>
      </c>
      <c r="O72" s="32">
        <f t="shared" si="19"/>
        <v>705676.24562835286</v>
      </c>
      <c r="P72" s="32">
        <f t="shared" si="20"/>
        <v>760.67146031290724</v>
      </c>
      <c r="Q72" s="33">
        <f t="shared" si="21"/>
        <v>937.73493225806999</v>
      </c>
      <c r="R72" s="33">
        <f>(0.00527*(Q72^3))-(0.192*(Q72^2))+2.39*Q72</f>
        <v>4179018.112846313</v>
      </c>
      <c r="S72" s="39">
        <f t="shared" si="23"/>
        <v>370979.0282923787</v>
      </c>
      <c r="T72" s="36">
        <f t="shared" si="24"/>
        <v>643.80300377882077</v>
      </c>
      <c r="U72" s="36">
        <f t="shared" si="25"/>
        <v>16.401163993505222</v>
      </c>
      <c r="V72" s="37">
        <f t="shared" si="26"/>
        <v>39.678024914004787</v>
      </c>
      <c r="W72" s="40">
        <f t="shared" si="3"/>
        <v>2022.9089990260175</v>
      </c>
      <c r="X72" s="32">
        <f t="shared" si="27"/>
        <v>87068150672.518265</v>
      </c>
      <c r="Y72" s="32">
        <f t="shared" si="28"/>
        <v>1545054.3357047152</v>
      </c>
      <c r="Z72" s="33">
        <f t="shared" si="29"/>
        <v>56962.269120010875</v>
      </c>
      <c r="AA72" s="33">
        <f t="shared" si="30"/>
        <v>973407435944.09485</v>
      </c>
      <c r="AB72" s="39">
        <f t="shared" si="4"/>
        <v>700351.30747458991</v>
      </c>
      <c r="AC72" s="36">
        <f t="shared" si="31"/>
        <v>8825.8050794358114</v>
      </c>
      <c r="AD72" s="36">
        <f t="shared" si="32"/>
        <v>72.09716753584847</v>
      </c>
      <c r="AE72" s="37">
        <f t="shared" si="33"/>
        <v>123.73935471761428</v>
      </c>
      <c r="AF72" s="40">
        <f t="shared" si="5"/>
        <v>260.58770069683817</v>
      </c>
      <c r="AG72" s="32">
        <f t="shared" si="34"/>
        <v>586565394529.82495</v>
      </c>
      <c r="AH72" s="32">
        <f t="shared" si="35"/>
        <v>5500393.7333107181</v>
      </c>
      <c r="AI72" s="33">
        <f t="shared" si="36"/>
        <v>107793.94766038332</v>
      </c>
      <c r="AJ72" s="33">
        <f t="shared" si="37"/>
        <v>6598526329344.0801</v>
      </c>
      <c r="AK72" s="39">
        <f t="shared" si="6"/>
        <v>704711.11414852424</v>
      </c>
      <c r="AL72" s="36">
        <f t="shared" si="38"/>
        <v>605.13455592323692</v>
      </c>
      <c r="AM72" s="36">
        <f t="shared" si="39"/>
        <v>9.7195178580929582</v>
      </c>
      <c r="AN72" s="37">
        <f t="shared" si="40"/>
        <v>62.933074638414645</v>
      </c>
      <c r="AO72" s="40">
        <f t="shared" si="7"/>
        <v>2710.4527654484527</v>
      </c>
      <c r="AP72" s="32">
        <f t="shared" si="56"/>
        <v>597593481878.58374</v>
      </c>
      <c r="AQ72" s="32">
        <f t="shared" si="41"/>
        <v>5569045.5124708274</v>
      </c>
      <c r="AR72" s="33">
        <f t="shared" si="42"/>
        <v>108466.79381475247</v>
      </c>
      <c r="AS72" s="33">
        <f>(0.00527*(AR72^3))-(0.192*(AR72^2))+2.39*AR72</f>
        <v>6722876639513.2383</v>
      </c>
      <c r="AT72" s="39">
        <f t="shared" si="8"/>
        <v>704741.5784355622</v>
      </c>
      <c r="AU72" s="36">
        <f t="shared" si="44"/>
        <v>23503.087607968155</v>
      </c>
      <c r="AV72" s="36">
        <f t="shared" si="45"/>
        <v>115.29805312644808</v>
      </c>
      <c r="AW72" s="37">
        <f t="shared" si="46"/>
        <v>206.05097013491428</v>
      </c>
      <c r="AX72" s="40">
        <f t="shared" si="9"/>
        <v>126.27481313859543</v>
      </c>
      <c r="AY72" s="2">
        <f t="shared" si="57"/>
        <v>34324.143368976213</v>
      </c>
      <c r="AZ72" s="2">
        <f t="shared" si="47"/>
        <v>620195.75708776375</v>
      </c>
      <c r="BA72" s="2">
        <f t="shared" si="48"/>
        <v>1280.0560695774759</v>
      </c>
      <c r="BB72" s="44">
        <f t="shared" si="60"/>
        <v>1280.0560695774759</v>
      </c>
      <c r="BC72">
        <f t="shared" si="49"/>
        <v>1020</v>
      </c>
      <c r="BD72" s="2">
        <f t="shared" si="50"/>
        <v>26.426538395921622</v>
      </c>
      <c r="BE72" s="2">
        <f t="shared" si="51"/>
        <v>1024.0448556619808</v>
      </c>
      <c r="BF72" s="2">
        <f t="shared" si="10"/>
        <v>0.28527940547910341</v>
      </c>
      <c r="BG72" s="24">
        <f t="shared" si="61"/>
        <v>1.0795186308742211E-2</v>
      </c>
    </row>
    <row r="73" spans="1:59" x14ac:dyDescent="0.25">
      <c r="C73" s="2"/>
      <c r="D73" s="2"/>
      <c r="E73" s="2"/>
      <c r="F73" s="25"/>
      <c r="I73" s="3"/>
      <c r="J73" s="28"/>
      <c r="K73" s="24"/>
      <c r="L73" s="24"/>
      <c r="M73" s="39"/>
      <c r="N73" s="40"/>
      <c r="O73" s="32"/>
      <c r="P73" s="32"/>
      <c r="Q73" s="33"/>
      <c r="R73" s="33"/>
      <c r="S73" s="39"/>
      <c r="T73" s="36"/>
      <c r="U73" s="36"/>
      <c r="V73" s="37"/>
      <c r="W73" s="40"/>
      <c r="X73" s="32"/>
      <c r="Y73" s="32"/>
      <c r="Z73" s="33"/>
      <c r="AA73" s="33"/>
      <c r="AB73" s="39"/>
      <c r="AC73" s="36"/>
      <c r="AD73" s="36"/>
      <c r="AE73" s="37"/>
      <c r="AF73" s="40"/>
      <c r="AG73" s="32"/>
      <c r="AH73" s="32"/>
      <c r="AI73" s="33"/>
      <c r="AJ73" s="33"/>
      <c r="AK73" s="39"/>
      <c r="AL73" s="36"/>
      <c r="AM73" s="36"/>
      <c r="AN73" s="37"/>
      <c r="AO73" s="40"/>
      <c r="AP73" s="32"/>
      <c r="AQ73" s="32"/>
      <c r="AR73" s="33"/>
      <c r="AS73" s="33"/>
      <c r="AT73" s="39"/>
      <c r="AU73" s="36"/>
      <c r="AV73" s="36"/>
      <c r="AW73" s="37"/>
      <c r="AX73" s="40"/>
      <c r="AY73" s="24"/>
      <c r="AZ73" s="2"/>
      <c r="BA73" s="2"/>
      <c r="BB73" s="44"/>
    </row>
    <row r="74" spans="1:59" x14ac:dyDescent="0.25">
      <c r="C74" s="2"/>
      <c r="D74" s="2"/>
      <c r="E74" s="2"/>
      <c r="F74" s="25"/>
      <c r="I74" s="3"/>
      <c r="J74" s="28"/>
      <c r="K74" s="24"/>
      <c r="L74" s="24"/>
      <c r="M74" s="39"/>
      <c r="N74" s="40"/>
      <c r="O74" s="32"/>
      <c r="P74" s="32"/>
      <c r="Q74" s="33"/>
      <c r="R74" s="33"/>
      <c r="S74" s="39"/>
      <c r="T74" s="36"/>
      <c r="U74" s="36"/>
      <c r="V74" s="37"/>
      <c r="W74" s="40"/>
      <c r="X74" s="32"/>
      <c r="Y74" s="32"/>
      <c r="Z74" s="33"/>
      <c r="AA74" s="33"/>
      <c r="AB74" s="39"/>
      <c r="AC74" s="36"/>
      <c r="AD74" s="36"/>
      <c r="AE74" s="37"/>
      <c r="AF74" s="40"/>
      <c r="AG74" s="32"/>
      <c r="AH74" s="32"/>
      <c r="AI74" s="33"/>
      <c r="AJ74" s="33"/>
      <c r="AK74" s="39"/>
      <c r="AL74" s="36"/>
      <c r="AM74" s="36"/>
      <c r="AN74" s="37"/>
      <c r="AO74" s="40"/>
      <c r="AP74" s="32"/>
      <c r="AQ74" s="32"/>
      <c r="AR74" s="33"/>
      <c r="AS74" s="33"/>
      <c r="AT74" s="39"/>
      <c r="AU74" s="36"/>
      <c r="AV74" s="36"/>
      <c r="AW74" s="37"/>
      <c r="AX74" s="40"/>
      <c r="AY74" s="24"/>
      <c r="AZ74" s="2"/>
      <c r="BA74" s="2"/>
      <c r="BB74" s="44"/>
    </row>
    <row r="75" spans="1:59" x14ac:dyDescent="0.25">
      <c r="C75" s="2"/>
      <c r="D75" s="2"/>
      <c r="E75" s="2"/>
      <c r="F75" s="25"/>
      <c r="I75" s="3"/>
      <c r="J75" s="28"/>
      <c r="K75" s="24"/>
      <c r="L75" s="24"/>
      <c r="M75" s="39"/>
      <c r="N75" s="40"/>
      <c r="O75" s="32"/>
      <c r="P75" s="32"/>
      <c r="Q75" s="33"/>
      <c r="R75" s="33"/>
      <c r="S75" s="39"/>
      <c r="T75" s="36"/>
      <c r="U75" s="36"/>
      <c r="V75" s="37"/>
      <c r="W75" s="40"/>
      <c r="X75" s="32"/>
      <c r="Y75" s="32"/>
      <c r="Z75" s="33"/>
      <c r="AA75" s="33"/>
      <c r="AB75" s="39"/>
      <c r="AC75" s="36"/>
      <c r="AD75" s="36"/>
      <c r="AE75" s="37"/>
      <c r="AF75" s="40"/>
      <c r="AG75" s="32"/>
      <c r="AH75" s="32"/>
      <c r="AI75" s="33"/>
      <c r="AJ75" s="33"/>
      <c r="AK75" s="39"/>
      <c r="AL75" s="36"/>
      <c r="AM75" s="36"/>
      <c r="AN75" s="37"/>
      <c r="AO75" s="40"/>
      <c r="AP75" s="32"/>
      <c r="AQ75" s="32"/>
      <c r="AR75" s="33"/>
      <c r="AS75" s="33"/>
      <c r="AT75" s="39"/>
      <c r="AU75" s="36"/>
      <c r="AV75" s="36"/>
      <c r="AW75" s="37"/>
      <c r="AX75" s="40"/>
      <c r="AY75" s="24"/>
      <c r="AZ75" s="2"/>
      <c r="BA75" s="2"/>
      <c r="BB75" s="44"/>
    </row>
    <row r="76" spans="1:59" x14ac:dyDescent="0.25">
      <c r="C76" s="2"/>
      <c r="D76" s="2"/>
      <c r="E76" s="2"/>
      <c r="F76" s="25"/>
      <c r="I76" s="3"/>
      <c r="J76" s="28"/>
      <c r="K76" s="24"/>
      <c r="L76" s="24"/>
      <c r="M76" s="39"/>
      <c r="N76" s="40"/>
      <c r="O76" s="32"/>
      <c r="P76" s="32"/>
      <c r="Q76" s="33"/>
      <c r="R76" s="33"/>
      <c r="S76" s="39"/>
      <c r="T76" s="36"/>
      <c r="U76" s="36"/>
      <c r="V76" s="37"/>
      <c r="W76" s="40"/>
      <c r="X76" s="32"/>
      <c r="Y76" s="32"/>
      <c r="Z76" s="33"/>
      <c r="AA76" s="33"/>
      <c r="AB76" s="39"/>
      <c r="AC76" s="36"/>
      <c r="AD76" s="36"/>
      <c r="AE76" s="37"/>
      <c r="AF76" s="40"/>
      <c r="AG76" s="32"/>
      <c r="AH76" s="32"/>
      <c r="AI76" s="33"/>
      <c r="AJ76" s="33"/>
      <c r="AK76" s="39"/>
      <c r="AL76" s="36"/>
      <c r="AM76" s="36"/>
      <c r="AN76" s="37"/>
      <c r="AO76" s="40"/>
      <c r="AP76" s="32"/>
      <c r="AQ76" s="32"/>
      <c r="AR76" s="33"/>
      <c r="AS76" s="33"/>
      <c r="AT76" s="39"/>
      <c r="AU76" s="36"/>
      <c r="AV76" s="36"/>
      <c r="AW76" s="37"/>
      <c r="AX76" s="40"/>
      <c r="AY76" s="24"/>
      <c r="AZ76" s="2"/>
      <c r="BA76" s="2"/>
      <c r="BB76" s="4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F997-3DEE-426D-90CB-D8AD496C9B01}">
  <dimension ref="A2:BI76"/>
  <sheetViews>
    <sheetView topLeftCell="E1" zoomScale="70" zoomScaleNormal="70" workbookViewId="0">
      <selection activeCell="E16" sqref="E16"/>
    </sheetView>
  </sheetViews>
  <sheetFormatPr defaultRowHeight="15" x14ac:dyDescent="0.25"/>
  <cols>
    <col min="1" max="1" width="23.85546875" customWidth="1"/>
    <col min="2" max="2" width="11" customWidth="1"/>
    <col min="3" max="3" width="12" customWidth="1"/>
    <col min="4" max="4" width="11.5703125" customWidth="1"/>
    <col min="7" max="7" width="11.85546875" bestFit="1" customWidth="1"/>
    <col min="8" max="8" width="14.28515625" customWidth="1"/>
    <col min="9" max="9" width="16.5703125" customWidth="1"/>
    <col min="10" max="10" width="12.28515625" customWidth="1"/>
    <col min="13" max="13" width="13.85546875" customWidth="1"/>
    <col min="16" max="16" width="12.140625" customWidth="1"/>
    <col min="19" max="19" width="12.28515625" customWidth="1"/>
    <col min="21" max="21" width="11.5703125" customWidth="1"/>
    <col min="23" max="23" width="13.42578125" customWidth="1"/>
    <col min="45" max="45" width="15.42578125" bestFit="1" customWidth="1"/>
    <col min="54" max="54" width="13.140625" customWidth="1"/>
  </cols>
  <sheetData>
    <row r="2" spans="1:58" x14ac:dyDescent="0.25">
      <c r="A2" t="s">
        <v>6</v>
      </c>
      <c r="H2" t="s">
        <v>7</v>
      </c>
      <c r="I2">
        <v>500</v>
      </c>
    </row>
    <row r="3" spans="1:58" ht="15.75" thickBot="1" x14ac:dyDescent="0.3">
      <c r="H3" t="s">
        <v>8</v>
      </c>
      <c r="I3" t="s">
        <v>9</v>
      </c>
      <c r="J3" t="s">
        <v>10</v>
      </c>
      <c r="P3" t="s">
        <v>11</v>
      </c>
      <c r="Q3" t="s">
        <v>12</v>
      </c>
      <c r="R3">
        <v>0.05</v>
      </c>
    </row>
    <row r="4" spans="1:58" x14ac:dyDescent="0.25">
      <c r="A4" s="12" t="s">
        <v>13</v>
      </c>
      <c r="B4" s="15" t="s">
        <v>14</v>
      </c>
      <c r="C4" s="19">
        <f>35</f>
        <v>35</v>
      </c>
      <c r="D4" s="6" t="s">
        <v>15</v>
      </c>
      <c r="E4" s="7">
        <f>C4*PI()/180</f>
        <v>0.6108652381980153</v>
      </c>
      <c r="F4" s="8" t="s">
        <v>16</v>
      </c>
      <c r="G4" t="s">
        <v>12</v>
      </c>
      <c r="J4" t="s">
        <v>17</v>
      </c>
      <c r="K4" t="s">
        <v>18</v>
      </c>
      <c r="P4" t="s">
        <v>10</v>
      </c>
      <c r="Q4" t="s">
        <v>4</v>
      </c>
      <c r="BB4" s="20">
        <f>LN(BB5)</f>
        <v>0.23815607201052524</v>
      </c>
    </row>
    <row r="5" spans="1:58" x14ac:dyDescent="0.25">
      <c r="A5" s="13" t="s">
        <v>19</v>
      </c>
      <c r="B5" s="16" t="s">
        <v>20</v>
      </c>
      <c r="C5" s="26">
        <f>0</f>
        <v>0</v>
      </c>
      <c r="D5" t="s">
        <v>15</v>
      </c>
      <c r="E5" s="5">
        <f t="shared" ref="E5:E6" si="0">C5*PI()/180</f>
        <v>0</v>
      </c>
      <c r="F5" s="9" t="s">
        <v>16</v>
      </c>
      <c r="P5">
        <v>20</v>
      </c>
      <c r="Q5">
        <v>360</v>
      </c>
      <c r="BB5">
        <f t="array" ref="BB5:BC8">LOGEST(BB23:BB72,LN(A23:A72),TRUE,TRUE)</f>
        <v>1.2689072182721197</v>
      </c>
      <c r="BC5" s="20">
        <v>224.97441247685106</v>
      </c>
      <c r="BE5" s="20">
        <f t="array" ref="BE5:BF9">LINEST(BB23:BB72,LN(A23:A72),TRUE,TRUE)</f>
        <v>141.0717474068187</v>
      </c>
      <c r="BF5" s="20">
        <v>43.800214416802646</v>
      </c>
    </row>
    <row r="6" spans="1:58" x14ac:dyDescent="0.25">
      <c r="A6" s="13" t="s">
        <v>21</v>
      </c>
      <c r="B6" s="16" t="s">
        <v>5</v>
      </c>
      <c r="C6" s="26">
        <f>5</f>
        <v>5</v>
      </c>
      <c r="D6" t="s">
        <v>15</v>
      </c>
      <c r="E6" s="5">
        <f t="shared" si="0"/>
        <v>8.7266462599716474E-2</v>
      </c>
      <c r="F6" s="9" t="s">
        <v>16</v>
      </c>
      <c r="G6">
        <v>5.0000000000000001E-3</v>
      </c>
      <c r="H6">
        <v>49.53</v>
      </c>
      <c r="I6">
        <v>0.36</v>
      </c>
      <c r="J6" s="25">
        <f>$I$2^(1/I6)*(1/H6)^(1/I6)</f>
        <v>615.41959940443087</v>
      </c>
      <c r="K6" s="5">
        <f>J6/60</f>
        <v>10.256993323407182</v>
      </c>
      <c r="L6" s="2">
        <f>J6*1.666</f>
        <v>1025.2890526077817</v>
      </c>
      <c r="P6">
        <v>40</v>
      </c>
      <c r="Q6">
        <v>400</v>
      </c>
      <c r="BB6">
        <v>9.2737807410498991E-3</v>
      </c>
      <c r="BC6">
        <v>4.5198688364442761E-2</v>
      </c>
      <c r="BE6">
        <v>2.1771619808041822</v>
      </c>
      <c r="BF6">
        <v>10.61108394052247</v>
      </c>
    </row>
    <row r="7" spans="1:58" ht="18" x14ac:dyDescent="0.35">
      <c r="A7" s="13" t="s">
        <v>22</v>
      </c>
      <c r="B7" s="17" t="s">
        <v>23</v>
      </c>
      <c r="C7" s="26">
        <v>2</v>
      </c>
      <c r="D7" t="s">
        <v>24</v>
      </c>
      <c r="E7" s="3">
        <f>C7*10^-6</f>
        <v>1.9999999999999999E-6</v>
      </c>
      <c r="F7" s="9" t="s">
        <v>0</v>
      </c>
      <c r="G7">
        <v>0.02</v>
      </c>
      <c r="H7">
        <v>60</v>
      </c>
      <c r="I7">
        <v>0.38279999999999997</v>
      </c>
      <c r="J7" s="25">
        <f>$I$2^(1/I7)*(1/H7)^(1/I7)</f>
        <v>254.37980983810058</v>
      </c>
      <c r="K7" s="5">
        <f>J7/60</f>
        <v>4.2396634973016765</v>
      </c>
      <c r="L7" s="2">
        <f t="shared" ref="L7:L10" si="1">J7*1.666</f>
        <v>423.79676319027556</v>
      </c>
      <c r="P7">
        <v>60</v>
      </c>
      <c r="Q7">
        <v>430</v>
      </c>
      <c r="BB7">
        <v>0.93215473002545801</v>
      </c>
      <c r="BC7">
        <v>6.0467618069310794E-2</v>
      </c>
      <c r="BE7">
        <v>0.98869668817660061</v>
      </c>
      <c r="BF7">
        <v>14.195698907087531</v>
      </c>
    </row>
    <row r="8" spans="1:58" ht="18" x14ac:dyDescent="0.35">
      <c r="A8" s="13" t="s">
        <v>25</v>
      </c>
      <c r="B8" s="17" t="s">
        <v>26</v>
      </c>
      <c r="C8" s="26">
        <f>(C7/2)/TAN(E6)</f>
        <v>11.430052302761343</v>
      </c>
      <c r="D8" t="s">
        <v>24</v>
      </c>
      <c r="E8" s="3">
        <f>C8*10^-6</f>
        <v>1.1430052302761342E-5</v>
      </c>
      <c r="F8" s="9" t="s">
        <v>0</v>
      </c>
      <c r="G8">
        <v>0.04</v>
      </c>
      <c r="H8">
        <v>84.31</v>
      </c>
      <c r="I8">
        <v>0.40100000000000002</v>
      </c>
      <c r="J8" s="25">
        <f>$I$2^(1/I8)*(1/H8)^(1/I8)</f>
        <v>84.704701978053649</v>
      </c>
      <c r="K8" s="5">
        <f t="shared" ref="K8:K10" si="2">J8/60</f>
        <v>1.4117450329675607</v>
      </c>
      <c r="L8" s="2">
        <f t="shared" si="1"/>
        <v>141.11803349543737</v>
      </c>
      <c r="P8">
        <v>80</v>
      </c>
      <c r="Q8">
        <v>470</v>
      </c>
      <c r="BB8">
        <v>659.49221011297323</v>
      </c>
      <c r="BC8">
        <v>48</v>
      </c>
      <c r="BE8">
        <v>4198.5430264990009</v>
      </c>
      <c r="BF8">
        <v>48</v>
      </c>
    </row>
    <row r="9" spans="1:58" x14ac:dyDescent="0.25">
      <c r="A9" s="13" t="s">
        <v>27</v>
      </c>
      <c r="B9" s="17" t="s">
        <v>12</v>
      </c>
      <c r="C9" s="48">
        <v>0.05</v>
      </c>
      <c r="D9" t="s">
        <v>28</v>
      </c>
      <c r="E9" s="3">
        <f>C9*10^-3</f>
        <v>5.0000000000000002E-5</v>
      </c>
      <c r="F9" s="9" t="s">
        <v>0</v>
      </c>
      <c r="G9">
        <v>0.08</v>
      </c>
      <c r="H9">
        <v>151.4</v>
      </c>
      <c r="I9">
        <v>0.36899999999999999</v>
      </c>
      <c r="J9" s="25">
        <f>$I$2^(1/I9)*(1/H9)^(1/I9)</f>
        <v>25.473091222700901</v>
      </c>
      <c r="K9" s="5">
        <f t="shared" si="2"/>
        <v>0.42455152037834837</v>
      </c>
      <c r="L9" s="2">
        <f t="shared" si="1"/>
        <v>42.438169977019697</v>
      </c>
      <c r="P9">
        <v>100</v>
      </c>
      <c r="Q9">
        <v>490</v>
      </c>
      <c r="BE9">
        <v>846081.43714201369</v>
      </c>
      <c r="BF9">
        <v>9672.8576381129333</v>
      </c>
    </row>
    <row r="10" spans="1:58" ht="18" x14ac:dyDescent="0.35">
      <c r="A10" s="13" t="s">
        <v>29</v>
      </c>
      <c r="B10" s="17" t="s">
        <v>30</v>
      </c>
      <c r="C10" s="21">
        <f>C9/SIN(E4)</f>
        <v>8.7172339781054917E-2</v>
      </c>
      <c r="D10" t="s">
        <v>28</v>
      </c>
      <c r="E10" s="3">
        <f>C10*10^-3</f>
        <v>8.7172339781054921E-5</v>
      </c>
      <c r="F10" s="9" t="s">
        <v>0</v>
      </c>
      <c r="G10">
        <v>0.12</v>
      </c>
      <c r="H10">
        <v>160.72</v>
      </c>
      <c r="I10" s="5">
        <v>0.38600000000000001</v>
      </c>
      <c r="J10" s="25">
        <f>$I$2^(1/I10)*(1/H10)^(1/I10)</f>
        <v>18.920962021010727</v>
      </c>
      <c r="K10" s="5">
        <f t="shared" si="2"/>
        <v>0.31534936701684546</v>
      </c>
      <c r="L10" s="2">
        <f t="shared" si="1"/>
        <v>31.522322727003868</v>
      </c>
    </row>
    <row r="11" spans="1:58" x14ac:dyDescent="0.25">
      <c r="A11" s="13" t="s">
        <v>31</v>
      </c>
      <c r="B11" s="17" t="s">
        <v>32</v>
      </c>
      <c r="C11" s="26">
        <f>3</f>
        <v>3</v>
      </c>
      <c r="D11" t="s">
        <v>28</v>
      </c>
      <c r="E11" s="3">
        <f>C11*10^-3</f>
        <v>3.0000000000000001E-3</v>
      </c>
      <c r="F11" s="9" t="s">
        <v>0</v>
      </c>
      <c r="AY11" t="s">
        <v>33</v>
      </c>
      <c r="AZ11" t="s">
        <v>34</v>
      </c>
      <c r="BA11" t="s">
        <v>35</v>
      </c>
    </row>
    <row r="12" spans="1:58" ht="18" x14ac:dyDescent="0.35">
      <c r="A12" s="13" t="s">
        <v>86</v>
      </c>
      <c r="B12" s="17" t="s">
        <v>90</v>
      </c>
      <c r="C12" s="27">
        <f>SQRT(C13^2+C14^2)</f>
        <v>389.48181925116825</v>
      </c>
      <c r="D12" t="s">
        <v>38</v>
      </c>
      <c r="E12" s="50" t="s">
        <v>92</v>
      </c>
      <c r="F12" s="9"/>
      <c r="AY12">
        <v>1</v>
      </c>
      <c r="AZ12" s="2">
        <f>M23</f>
        <v>311.06761985262335</v>
      </c>
      <c r="BA12" s="2">
        <f>N23</f>
        <v>196.54990435692045</v>
      </c>
    </row>
    <row r="13" spans="1:58" x14ac:dyDescent="0.25">
      <c r="A13" s="13" t="s">
        <v>36</v>
      </c>
      <c r="B13" s="17" t="s">
        <v>88</v>
      </c>
      <c r="C13" s="27">
        <f>13.918*(C9*1000)^0.8162</f>
        <v>339.05968148152476</v>
      </c>
      <c r="D13" t="s">
        <v>38</v>
      </c>
      <c r="E13" s="3"/>
      <c r="F13" s="9"/>
      <c r="AY13">
        <v>2</v>
      </c>
      <c r="AZ13" s="2">
        <f>S23</f>
        <v>257.60733844432917</v>
      </c>
      <c r="BA13" s="2">
        <f>W23</f>
        <v>387.15516439964136</v>
      </c>
    </row>
    <row r="14" spans="1:58" x14ac:dyDescent="0.25">
      <c r="A14" s="13" t="s">
        <v>87</v>
      </c>
      <c r="B14" s="17" t="s">
        <v>89</v>
      </c>
      <c r="C14" s="27">
        <f>15.371*(C9*1000)^0.645</f>
        <v>191.66277656563014</v>
      </c>
      <c r="D14" t="s">
        <v>38</v>
      </c>
      <c r="E14" s="3"/>
      <c r="F14" s="9"/>
      <c r="AY14">
        <v>3</v>
      </c>
      <c r="AZ14" s="2">
        <f>AB23</f>
        <v>278.13018505946576</v>
      </c>
      <c r="BA14" s="2">
        <f>AF23</f>
        <v>330.26501506158996</v>
      </c>
    </row>
    <row r="15" spans="1:58" ht="18.75" thickBot="1" x14ac:dyDescent="0.4">
      <c r="A15" s="14" t="s">
        <v>39</v>
      </c>
      <c r="B15" s="18" t="s">
        <v>40</v>
      </c>
      <c r="C15" s="26">
        <v>180</v>
      </c>
      <c r="D15" s="10" t="s">
        <v>41</v>
      </c>
      <c r="E15" s="10"/>
      <c r="F15" s="11"/>
      <c r="AY15">
        <v>4</v>
      </c>
      <c r="AZ15" s="2">
        <f>AK23</f>
        <v>270.05235802022469</v>
      </c>
      <c r="BA15" s="2">
        <f>AO23</f>
        <v>345.68771252519775</v>
      </c>
    </row>
    <row r="16" spans="1:58" ht="18" x14ac:dyDescent="0.35">
      <c r="A16" s="13" t="s">
        <v>80</v>
      </c>
      <c r="B16" s="46" t="s">
        <v>81</v>
      </c>
      <c r="C16" s="45">
        <f>0.875</f>
        <v>0.875</v>
      </c>
      <c r="D16" s="52">
        <f>1/(SQRT(3)*PI())</f>
        <v>0.1837762984739307</v>
      </c>
      <c r="E16" s="52">
        <f>0.159*2*C16</f>
        <v>0.27825</v>
      </c>
      <c r="F16">
        <f>E16*PI()</f>
        <v>0.87414815586135997</v>
      </c>
      <c r="G16">
        <f>1/SQRT(3)</f>
        <v>0.57735026918962584</v>
      </c>
      <c r="H16">
        <f>G16/PI()</f>
        <v>0.1837762984739307</v>
      </c>
      <c r="AY16">
        <v>5</v>
      </c>
      <c r="AZ16" s="2">
        <f>AT23</f>
        <v>273.20158784823701</v>
      </c>
      <c r="BA16" s="2">
        <f>AX23</f>
        <v>341.42588073830746</v>
      </c>
    </row>
    <row r="17" spans="1:61" ht="18" x14ac:dyDescent="0.35">
      <c r="A17" s="13" t="s">
        <v>82</v>
      </c>
      <c r="B17" s="47" t="s">
        <v>83</v>
      </c>
      <c r="C17" s="45">
        <f>0.875*0.93</f>
        <v>0.81375000000000008</v>
      </c>
      <c r="D17" s="53">
        <f>SQRT(3)/PI()</f>
        <v>0.55132889542179209</v>
      </c>
    </row>
    <row r="18" spans="1:61" x14ac:dyDescent="0.25">
      <c r="O18" s="38" t="s">
        <v>42</v>
      </c>
      <c r="X18" s="38" t="s">
        <v>43</v>
      </c>
      <c r="AG18" s="38" t="s">
        <v>44</v>
      </c>
      <c r="AP18" s="38" t="s">
        <v>45</v>
      </c>
    </row>
    <row r="19" spans="1:61" x14ac:dyDescent="0.25">
      <c r="C19" t="s">
        <v>46</v>
      </c>
      <c r="K19" t="s">
        <v>47</v>
      </c>
      <c r="O19" s="29" t="s">
        <v>48</v>
      </c>
      <c r="P19" s="29"/>
      <c r="Q19" s="29"/>
      <c r="R19" s="29"/>
      <c r="S19" s="29"/>
      <c r="T19" s="4" t="s">
        <v>49</v>
      </c>
      <c r="U19" s="4"/>
      <c r="V19" s="4"/>
      <c r="W19" s="4"/>
      <c r="X19" s="29" t="s">
        <v>48</v>
      </c>
      <c r="Y19" s="29"/>
      <c r="AC19" s="4" t="s">
        <v>49</v>
      </c>
      <c r="AD19" s="4"/>
      <c r="AE19" s="4"/>
      <c r="AF19" s="4"/>
      <c r="AG19" s="29" t="s">
        <v>48</v>
      </c>
      <c r="AH19" s="29"/>
      <c r="AL19" s="4" t="s">
        <v>49</v>
      </c>
      <c r="AM19" s="4"/>
      <c r="AN19" s="4"/>
      <c r="AO19" s="4"/>
      <c r="AP19" s="29" t="s">
        <v>48</v>
      </c>
      <c r="AQ19" s="29"/>
      <c r="AU19" s="4" t="s">
        <v>49</v>
      </c>
      <c r="AV19" s="4"/>
      <c r="AW19" s="4"/>
      <c r="AX19" s="4"/>
      <c r="AZ19" t="s">
        <v>50</v>
      </c>
    </row>
    <row r="20" spans="1:61" ht="60" x14ac:dyDescent="0.25">
      <c r="B20" s="23" t="s">
        <v>51</v>
      </c>
      <c r="C20" s="23" t="s">
        <v>52</v>
      </c>
      <c r="D20" s="23" t="s">
        <v>53</v>
      </c>
      <c r="E20" s="23" t="s">
        <v>54</v>
      </c>
      <c r="F20" s="23" t="s">
        <v>55</v>
      </c>
      <c r="G20" s="23" t="s">
        <v>56</v>
      </c>
      <c r="H20" s="23" t="s">
        <v>57</v>
      </c>
      <c r="I20" s="23" t="s">
        <v>58</v>
      </c>
      <c r="J20" s="23" t="s">
        <v>84</v>
      </c>
      <c r="K20" s="23" t="s">
        <v>55</v>
      </c>
      <c r="L20" s="30" t="s">
        <v>59</v>
      </c>
      <c r="M20" s="30" t="s">
        <v>60</v>
      </c>
      <c r="N20" s="34" t="s">
        <v>61</v>
      </c>
      <c r="O20" s="30" t="s">
        <v>54</v>
      </c>
      <c r="P20" s="30" t="s">
        <v>53</v>
      </c>
      <c r="Q20" s="30" t="s">
        <v>55</v>
      </c>
      <c r="R20" s="30" t="s">
        <v>59</v>
      </c>
      <c r="S20" s="30" t="s">
        <v>60</v>
      </c>
      <c r="T20" s="34" t="s">
        <v>54</v>
      </c>
      <c r="U20" s="34" t="s">
        <v>53</v>
      </c>
      <c r="V20" s="34" t="s">
        <v>55</v>
      </c>
      <c r="W20" s="34" t="s">
        <v>61</v>
      </c>
      <c r="X20" s="30" t="s">
        <v>54</v>
      </c>
      <c r="Y20" s="30" t="s">
        <v>53</v>
      </c>
      <c r="Z20" s="30" t="s">
        <v>55</v>
      </c>
      <c r="AA20" s="30" t="s">
        <v>59</v>
      </c>
      <c r="AB20" s="30" t="s">
        <v>60</v>
      </c>
      <c r="AC20" s="34" t="s">
        <v>54</v>
      </c>
      <c r="AD20" s="34" t="s">
        <v>53</v>
      </c>
      <c r="AE20" s="34" t="s">
        <v>55</v>
      </c>
      <c r="AF20" s="34" t="s">
        <v>61</v>
      </c>
      <c r="AG20" s="30" t="s">
        <v>54</v>
      </c>
      <c r="AH20" s="30" t="s">
        <v>53</v>
      </c>
      <c r="AI20" s="30" t="s">
        <v>55</v>
      </c>
      <c r="AJ20" s="30" t="s">
        <v>59</v>
      </c>
      <c r="AK20" s="30" t="s">
        <v>60</v>
      </c>
      <c r="AL20" s="34" t="s">
        <v>54</v>
      </c>
      <c r="AM20" s="34" t="s">
        <v>53</v>
      </c>
      <c r="AN20" s="34" t="s">
        <v>55</v>
      </c>
      <c r="AO20" s="34" t="s">
        <v>61</v>
      </c>
      <c r="AP20" s="30" t="s">
        <v>54</v>
      </c>
      <c r="AQ20" s="30" t="s">
        <v>53</v>
      </c>
      <c r="AR20" s="30" t="s">
        <v>55</v>
      </c>
      <c r="AS20" s="30" t="s">
        <v>59</v>
      </c>
      <c r="AT20" s="30" t="s">
        <v>60</v>
      </c>
      <c r="AU20" s="34" t="s">
        <v>54</v>
      </c>
      <c r="AV20" s="34" t="s">
        <v>53</v>
      </c>
      <c r="AW20" s="34" t="s">
        <v>55</v>
      </c>
      <c r="AX20" s="34" t="s">
        <v>61</v>
      </c>
      <c r="AY20" s="23" t="s">
        <v>62</v>
      </c>
      <c r="AZ20" s="30" t="s">
        <v>63</v>
      </c>
      <c r="BA20" s="34" t="s">
        <v>35</v>
      </c>
      <c r="BB20" s="41" t="s">
        <v>91</v>
      </c>
      <c r="BC20" t="s">
        <v>10</v>
      </c>
      <c r="BD20" t="s">
        <v>9</v>
      </c>
      <c r="BE20" t="s">
        <v>93</v>
      </c>
      <c r="BF20" t="s">
        <v>94</v>
      </c>
      <c r="BG20" t="s">
        <v>94</v>
      </c>
    </row>
    <row r="21" spans="1:61" ht="18" x14ac:dyDescent="0.35"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s="1" t="s">
        <v>70</v>
      </c>
      <c r="H21" s="1" t="s">
        <v>71</v>
      </c>
      <c r="I21" s="1" t="s">
        <v>9</v>
      </c>
      <c r="J21" s="1" t="s">
        <v>72</v>
      </c>
      <c r="K21" s="1" t="s">
        <v>73</v>
      </c>
      <c r="L21" s="31" t="s">
        <v>3</v>
      </c>
      <c r="M21" s="31" t="s">
        <v>74</v>
      </c>
      <c r="N21" s="35" t="s">
        <v>74</v>
      </c>
      <c r="O21" s="29" t="s">
        <v>68</v>
      </c>
      <c r="P21" s="29" t="s">
        <v>67</v>
      </c>
      <c r="Q21" s="31" t="s">
        <v>73</v>
      </c>
      <c r="R21" s="31" t="s">
        <v>3</v>
      </c>
      <c r="S21" s="31" t="s">
        <v>74</v>
      </c>
      <c r="T21" s="4" t="s">
        <v>68</v>
      </c>
      <c r="U21" s="4" t="s">
        <v>67</v>
      </c>
      <c r="V21" s="35" t="s">
        <v>73</v>
      </c>
      <c r="W21" s="35" t="s">
        <v>74</v>
      </c>
      <c r="X21" s="29" t="s">
        <v>68</v>
      </c>
      <c r="Y21" s="29" t="s">
        <v>67</v>
      </c>
      <c r="Z21" s="31" t="s">
        <v>73</v>
      </c>
      <c r="AA21" s="31" t="s">
        <v>3</v>
      </c>
      <c r="AB21" s="31" t="s">
        <v>74</v>
      </c>
      <c r="AC21" s="4" t="s">
        <v>68</v>
      </c>
      <c r="AD21" s="4" t="s">
        <v>67</v>
      </c>
      <c r="AE21" s="35" t="s">
        <v>73</v>
      </c>
      <c r="AF21" s="35" t="s">
        <v>74</v>
      </c>
      <c r="AG21" s="29" t="s">
        <v>68</v>
      </c>
      <c r="AH21" s="29" t="s">
        <v>67</v>
      </c>
      <c r="AI21" s="31" t="s">
        <v>73</v>
      </c>
      <c r="AJ21" s="31" t="s">
        <v>3</v>
      </c>
      <c r="AK21" s="31" t="s">
        <v>74</v>
      </c>
      <c r="AL21" s="4" t="s">
        <v>68</v>
      </c>
      <c r="AM21" s="4" t="s">
        <v>67</v>
      </c>
      <c r="AN21" s="35" t="s">
        <v>73</v>
      </c>
      <c r="AO21" s="35" t="s">
        <v>74</v>
      </c>
      <c r="AP21" s="29" t="s">
        <v>68</v>
      </c>
      <c r="AQ21" s="29" t="s">
        <v>67</v>
      </c>
      <c r="AR21" s="31" t="s">
        <v>73</v>
      </c>
      <c r="AS21" s="31" t="s">
        <v>3</v>
      </c>
      <c r="AT21" s="31" t="s">
        <v>74</v>
      </c>
      <c r="AU21" s="4" t="s">
        <v>68</v>
      </c>
      <c r="AV21" s="4" t="s">
        <v>67</v>
      </c>
      <c r="AW21" s="35" t="s">
        <v>73</v>
      </c>
      <c r="AX21" s="35" t="s">
        <v>74</v>
      </c>
      <c r="AZ21" s="31" t="s">
        <v>74</v>
      </c>
      <c r="BA21" s="35" t="s">
        <v>74</v>
      </c>
      <c r="BB21" s="42" t="s">
        <v>74</v>
      </c>
      <c r="BF21" t="s">
        <v>85</v>
      </c>
      <c r="BG21" t="s">
        <v>9</v>
      </c>
    </row>
    <row r="22" spans="1:61" x14ac:dyDescent="0.25">
      <c r="A22" t="s">
        <v>75</v>
      </c>
      <c r="B22" t="s">
        <v>76</v>
      </c>
      <c r="C22" t="s">
        <v>41</v>
      </c>
      <c r="D22" t="s">
        <v>2</v>
      </c>
      <c r="E22" t="s">
        <v>1</v>
      </c>
      <c r="F22" t="s">
        <v>77</v>
      </c>
      <c r="G22" t="s">
        <v>0</v>
      </c>
      <c r="H22" t="s">
        <v>0</v>
      </c>
      <c r="I22" t="s">
        <v>0</v>
      </c>
      <c r="J22" t="s">
        <v>78</v>
      </c>
      <c r="L22" s="29"/>
      <c r="M22" s="29" t="s">
        <v>79</v>
      </c>
      <c r="N22" s="4" t="s">
        <v>79</v>
      </c>
      <c r="O22" s="29" t="s">
        <v>1</v>
      </c>
      <c r="P22" s="29" t="s">
        <v>2</v>
      </c>
      <c r="Q22" s="29"/>
      <c r="R22" s="29"/>
      <c r="S22" s="29" t="s">
        <v>79</v>
      </c>
      <c r="T22" s="4" t="s">
        <v>1</v>
      </c>
      <c r="U22" s="4" t="s">
        <v>2</v>
      </c>
      <c r="V22" s="4"/>
      <c r="W22" s="4" t="s">
        <v>79</v>
      </c>
      <c r="X22" s="29" t="s">
        <v>1</v>
      </c>
      <c r="Y22" s="29" t="s">
        <v>2</v>
      </c>
      <c r="Z22" s="29"/>
      <c r="AA22" s="29"/>
      <c r="AB22" s="29" t="s">
        <v>79</v>
      </c>
      <c r="AC22" s="4" t="s">
        <v>1</v>
      </c>
      <c r="AD22" s="4" t="s">
        <v>2</v>
      </c>
      <c r="AE22" s="4"/>
      <c r="AF22" s="4" t="s">
        <v>79</v>
      </c>
      <c r="AG22" s="29" t="s">
        <v>1</v>
      </c>
      <c r="AH22" s="29" t="s">
        <v>2</v>
      </c>
      <c r="AI22" s="29"/>
      <c r="AJ22" s="29"/>
      <c r="AK22" s="29" t="s">
        <v>79</v>
      </c>
      <c r="AL22" s="4" t="s">
        <v>1</v>
      </c>
      <c r="AM22" s="4" t="s">
        <v>2</v>
      </c>
      <c r="AN22" s="4"/>
      <c r="AO22" s="4" t="s">
        <v>79</v>
      </c>
      <c r="AP22" s="29" t="s">
        <v>1</v>
      </c>
      <c r="AQ22" s="29" t="s">
        <v>2</v>
      </c>
      <c r="AR22" s="29"/>
      <c r="AS22" s="29"/>
      <c r="AT22" s="29" t="s">
        <v>79</v>
      </c>
      <c r="AU22" s="4" t="s">
        <v>1</v>
      </c>
      <c r="AV22" s="4" t="s">
        <v>2</v>
      </c>
      <c r="AW22" s="4"/>
      <c r="AX22" s="4" t="s">
        <v>79</v>
      </c>
      <c r="AZ22" s="29" t="s">
        <v>79</v>
      </c>
      <c r="BA22" s="4" t="s">
        <v>79</v>
      </c>
      <c r="BB22" s="43" t="s">
        <v>79</v>
      </c>
      <c r="BC22" t="s">
        <v>17</v>
      </c>
      <c r="BD22" t="s">
        <v>85</v>
      </c>
    </row>
    <row r="23" spans="1:61" x14ac:dyDescent="0.25">
      <c r="A23">
        <f>B23*60</f>
        <v>6</v>
      </c>
      <c r="B23">
        <v>0.1</v>
      </c>
      <c r="C23">
        <f>C15</f>
        <v>180</v>
      </c>
      <c r="D23" s="2">
        <f>((1.12*10^-5)*(C23^2))+(0.00982*C23)+6.4</f>
        <v>8.5304800000000007</v>
      </c>
      <c r="E23" s="2">
        <f>((1.71*10^-6)*(C23^3))-(0.00173*(C23^2))+(0.6*C23)+536</f>
        <v>597.92071999999996</v>
      </c>
      <c r="F23" s="25">
        <f>B23*$E$10*4500*E23/(4*D23)</f>
        <v>0.6873870718496452</v>
      </c>
      <c r="G23">
        <f>SQRT($E$10^2/F23)</f>
        <v>1.0514243316632085E-4</v>
      </c>
      <c r="H23">
        <f>G23/SIN($E$4)</f>
        <v>1.8331023818762756E-4</v>
      </c>
      <c r="I23" s="51">
        <f>(H23+$E$8)/2</f>
        <v>9.737014524519445E-5</v>
      </c>
      <c r="J23" s="28">
        <f>IF(0.6*F23^-0.4&gt;1,1,0.6*F23^-0.4)</f>
        <v>0.6970608739543559</v>
      </c>
      <c r="K23" s="24">
        <f>(B23*I23*4500*E23)/(2*D23)</f>
        <v>1.5356012972411901</v>
      </c>
      <c r="L23" s="33">
        <f>(0.00527*(K23^3))-(0.192*(K23^2))+2.39*K23</f>
        <v>3.2364203749182825</v>
      </c>
      <c r="M23" s="39">
        <f>$C$16*L23*0.159*$C$12*J23*2/(4500*E23*$E$11*I23)</f>
        <v>311.06761985262335</v>
      </c>
      <c r="N23" s="40">
        <f>$C$17*0.399*$C$12*J23*B23/(D23*$E$11)*SQRT(D23/(4500*E23*B23*I23))</f>
        <v>196.54990435692045</v>
      </c>
      <c r="O23" s="32">
        <f>((1.71*10^-6)*(M23^3))-(0.00173*(M23^2))+(0.6*M23)+536</f>
        <v>606.71122482077249</v>
      </c>
      <c r="P23" s="32">
        <f>((1.12*10^-5)*(M23^2))+(0.00982*M23)+6.4</f>
        <v>10.538430345105455</v>
      </c>
      <c r="Q23" s="33">
        <f>($B23*$I23*4500*O23)/(2*P23)</f>
        <v>1.2612885015440969</v>
      </c>
      <c r="R23" s="33">
        <f>(0.00527*(Q23^3))-(0.192*(Q23^2))+2.39*Q23</f>
        <v>2.7196109272741782</v>
      </c>
      <c r="S23" s="39">
        <f>$C$16*R23*0.159*$C$12*$J23*2/(4500*O23*$E$11*$I23)</f>
        <v>257.60733844432917</v>
      </c>
      <c r="T23" s="36">
        <f>((1.71*10^-6)*(N23^3))-(0.00173*(N23^2))+(0.6*N23)+536</f>
        <v>600.08099912396233</v>
      </c>
      <c r="U23" s="36">
        <f>((1.12*10^-5)*(N23^2))+(0.00982*N23)+6.4</f>
        <v>8.762796947695362</v>
      </c>
      <c r="V23" s="37">
        <f>($B23*$I23*4500*T23)/(2*U23)</f>
        <v>1.5002908589892057</v>
      </c>
      <c r="W23" s="40">
        <f t="shared" ref="W23:W72" si="3">$C$17*0.399*$C$12*$J23*$B23*2/(U23*$E$11)*SQRT(U23/(4500*T23*$B23*$I23))</f>
        <v>387.15516439964136</v>
      </c>
      <c r="X23" s="32">
        <f>((1.71*10^-6)*(S23^3))-(0.00173*(S23^2))+(0.6*S23)+536</f>
        <v>604.99176348627429</v>
      </c>
      <c r="Y23" s="32">
        <f>((1.12*10^-5)*(S23^2))+(0.00982*S23)+6.4</f>
        <v>9.6729533207114695</v>
      </c>
      <c r="Z23" s="33">
        <f>($B23*$I23*4500*X23)/(2*Y23)</f>
        <v>1.3702465146038982</v>
      </c>
      <c r="AA23" s="33">
        <f>(0.00527*(Z23^3))-(0.192*(Z23^2))+2.39*Z23</f>
        <v>2.9279530184814324</v>
      </c>
      <c r="AB23" s="39">
        <f t="shared" ref="AB23:AB72" si="4">$C$16*AA23*0.159*$C$12*$J23*2/(4500*X23*$E$11*$I23)</f>
        <v>278.13018505946576</v>
      </c>
      <c r="AC23" s="36">
        <f>((1.71*10^-6)*(W23^3))-(0.00173*(W23^2))+(0.6*W23)+536</f>
        <v>608.21681281966187</v>
      </c>
      <c r="AD23" s="36">
        <f>((1.12*10^-5)*(W23^2))+(0.00982*W23)+6.4</f>
        <v>11.880621873203189</v>
      </c>
      <c r="AE23" s="37">
        <f>($B23*$I23*4500*AC23)/(2*AD23)</f>
        <v>1.1215730967870479</v>
      </c>
      <c r="AF23" s="40">
        <f t="shared" ref="AF23:AF72" si="5">$C$17*0.399*$C$12*$J23*$B23*2/(AD23*$E$11)*SQRT(AD23/(4500*AC23*$B23*$I23))</f>
        <v>330.26501506158996</v>
      </c>
      <c r="AG23" s="32">
        <f>((1.71*10^-6)*(AB23^3))-(0.00173*(AB23^2))+(0.6*AB23)+536</f>
        <v>605.84244547414505</v>
      </c>
      <c r="AH23" s="32">
        <f>((1.12*10^-5)*(AB23^2))+(0.00982*AB23)+6.4</f>
        <v>9.9976300955055351</v>
      </c>
      <c r="AI23" s="33">
        <f>($B23*$I23*4500*AG23)/(2*AH23)</f>
        <v>1.3276113867284605</v>
      </c>
      <c r="AJ23" s="33">
        <f>(0.00527*(AI23^3))-(0.192*(AI23^2))+2.39*AI23</f>
        <v>2.8469129475922221</v>
      </c>
      <c r="AK23" s="39">
        <f t="shared" ref="AK23:AK72" si="6">$C$16*AJ23*0.159*$C$12*$J23*2/(4500*AG23*$E$11*$I23)</f>
        <v>270.05235802022469</v>
      </c>
      <c r="AL23" s="36">
        <f>((1.71*10^-6)*(AF23^3))-(0.00173*(AF23^2))+(0.6*AF23)+536</f>
        <v>607.05973478507747</v>
      </c>
      <c r="AM23" s="36">
        <f>((1.12*10^-5)*(AF23^2))+(0.00982*AF23)+6.4</f>
        <v>10.864842225849495</v>
      </c>
      <c r="AN23" s="37">
        <f>($B23*$I23*4500*AL23)/(2*AM23)</f>
        <v>1.2240984265539929</v>
      </c>
      <c r="AO23" s="40">
        <f t="shared" ref="AO23:AO72" si="7">$C$17*0.399*$C$12*$J23*$B23*2/(AM23*$E$11)*SQRT(AM23/(4500*AL23*$B23*$I23))</f>
        <v>345.68771252519775</v>
      </c>
      <c r="AP23" s="32">
        <f>((1.71*10^-6)*(AK23^3))-(0.00173*(AK23^2))+(0.6*AK23)+536</f>
        <v>605.54301169972007</v>
      </c>
      <c r="AQ23" s="32">
        <f>((1.12*10^-5)*(AK23^2))+(0.00982*AK23)+6.4</f>
        <v>9.8687108477681829</v>
      </c>
      <c r="AR23" s="33">
        <f>($B23*$I23*4500*AP23)/(2*AQ23)</f>
        <v>1.3442898145423332</v>
      </c>
      <c r="AS23" s="33">
        <f>(0.00527*(AR23^3))-(0.192*(AR23^2))+2.39*AR23</f>
        <v>2.8786888959897108</v>
      </c>
      <c r="AT23" s="39">
        <f t="shared" ref="AT23:AT72" si="8">$C$16*AS23*0.159*$C$12*$J23*2/(4500*AP23*$E$11*$I23)</f>
        <v>273.20158784823701</v>
      </c>
      <c r="AU23" s="36">
        <f>((1.71*10^-6)*(AO23^3))-(0.00173*(AO23^2))+(0.6*AO23)+536</f>
        <v>607.31718929135934</v>
      </c>
      <c r="AV23" s="36">
        <f>((1.12*10^-5)*(AO23^2))+(0.00982*AO23)+6.4</f>
        <v>11.133053276415565</v>
      </c>
      <c r="AW23" s="37">
        <f>($B23*$I23*4500*AU23)/(2*AV23)</f>
        <v>1.195114792786159</v>
      </c>
      <c r="AX23" s="40">
        <f t="shared" ref="AX23:AX72" si="9">$C$17*0.399*$C$12*$J23*$B23*2/(AV23*$E$11)*SQRT(AV23/(4500*AU23*$B23*$I23))</f>
        <v>341.42588073830746</v>
      </c>
      <c r="AY23" s="2">
        <f>AVERAGE(AW23,AR23,AN23,AI23,AE23,Z23,V23,Q23)</f>
        <v>1.2930641740668993</v>
      </c>
      <c r="AZ23" s="2">
        <f>AVERAGE(AT23,AK23,AB23,S23)</f>
        <v>269.74786734306412</v>
      </c>
      <c r="BA23" s="2">
        <f>AVERAGE(AX23,AO23,AF23,W23)</f>
        <v>351.13344318118413</v>
      </c>
      <c r="BB23" s="44">
        <f>IF(AY23&gt;5,BA23,AZ23)</f>
        <v>269.74786734306412</v>
      </c>
      <c r="BC23">
        <f>A23</f>
        <v>6</v>
      </c>
      <c r="BD23" s="2">
        <f>I23*10^6</f>
        <v>97.37014524519445</v>
      </c>
      <c r="BE23" s="2">
        <f>BB23*0.8</f>
        <v>215.7982938744513</v>
      </c>
      <c r="BF23" s="2">
        <f t="shared" ref="BF23:BF72" si="10">SQRT((2*BD23)^2/AY23)</f>
        <v>171.25599126096571</v>
      </c>
      <c r="BG23" s="24">
        <f t="shared" ref="BG23:BG31" si="11">BF23/BD23</f>
        <v>1.7588141707061671</v>
      </c>
    </row>
    <row r="24" spans="1:61" x14ac:dyDescent="0.25">
      <c r="A24">
        <f t="shared" ref="A24:A72" si="12">B24*60</f>
        <v>12</v>
      </c>
      <c r="B24">
        <v>0.2</v>
      </c>
      <c r="C24" s="2">
        <f>BB23</f>
        <v>269.74786734306412</v>
      </c>
      <c r="D24" s="2">
        <f t="shared" ref="D24:D72" si="13">((1.12*10^-5)*(C24^2))+(0.00982*C24)+6.4</f>
        <v>9.8638798709935607</v>
      </c>
      <c r="E24" s="2">
        <f t="shared" ref="E24:E72" si="14">((1.71*10^-6)*(C24^3))-(0.00173*(C24^2))+(0.6*C24)+536</f>
        <v>605.53087896630132</v>
      </c>
      <c r="F24" s="25">
        <f t="shared" ref="F24:F72" si="15">B24*$E$10*4500*E24/(4*D24)</f>
        <v>1.2040644705121719</v>
      </c>
      <c r="G24">
        <f t="shared" ref="G24:G72" si="16">SQRT($E$10^2/F24)</f>
        <v>7.9442670048480218E-5</v>
      </c>
      <c r="H24">
        <f t="shared" ref="H24:H72" si="17">G24/SIN($E$4)</f>
        <v>1.3850406853160703E-4</v>
      </c>
      <c r="I24" s="51">
        <f>(H24+$E$8)/2</f>
        <v>7.4967060417184184E-5</v>
      </c>
      <c r="J24" s="28">
        <f>IF(0.6*F24^-0.4&gt;1,1,0.6*F24^-0.4)</f>
        <v>0.55704637682199198</v>
      </c>
      <c r="K24" s="24">
        <f>(B24*I24*4500*E24)/(2*D24)</f>
        <v>2.0709590710490056</v>
      </c>
      <c r="L24" s="33">
        <f>(0.00527*(K24^3))-(0.192*(K24^2))+2.39*K24</f>
        <v>4.1729374040911402</v>
      </c>
      <c r="M24" s="39">
        <f>$C$16*L24*0.159*$C$12*J24*2/(4500*E24*$E$11*I24)</f>
        <v>411.06929840458537</v>
      </c>
      <c r="N24" s="40">
        <f t="shared" ref="N24:N72" si="18">$C$17*0.399*$C$12*J24*B24/(D24*$E$11)*SQRT(D24/(4500*E24*B24*I24))</f>
        <v>233.93901213335795</v>
      </c>
      <c r="O24" s="32">
        <f t="shared" ref="O24:O72" si="19">((1.71*10^-6)*(M24^3))-(0.00173*(M24^2))+(0.6*M24)+536</f>
        <v>609.08912393467722</v>
      </c>
      <c r="P24" s="32">
        <f t="shared" ref="P24:P72" si="20">((1.12*10^-5)*(M24^2))+(0.00982*M24)+6.4</f>
        <v>12.329253752950414</v>
      </c>
      <c r="Q24" s="33">
        <f t="shared" ref="Q24:Q72" si="21">($B24*$I24*4500*O24)/(2*P24)</f>
        <v>1.6665833902672511</v>
      </c>
      <c r="R24" s="33">
        <f t="shared" ref="R24:R71" si="22">(0.00527*(Q24^3))-(0.192*(Q24^2))+2.39*Q24</f>
        <v>3.4742487560785178</v>
      </c>
      <c r="S24" s="39">
        <f t="shared" ref="S24:S72" si="23">$C$16*R24*0.159*$C$12*$J24*2/(4500*O24*$E$11*$I24)</f>
        <v>340.24326124899642</v>
      </c>
      <c r="T24" s="36">
        <f t="shared" ref="T24:T72" si="24">((1.71*10^-6)*(N24^3))-(0.00173*(N24^2))+(0.6*N24)+536</f>
        <v>603.57783797935099</v>
      </c>
      <c r="U24" s="36">
        <f t="shared" ref="U24:U72" si="25">((1.12*10^-5)*(N24^2))+(0.00982*N24)+6.4</f>
        <v>9.310228666806406</v>
      </c>
      <c r="V24" s="37">
        <f t="shared" ref="V24:V72" si="26">($B24*$I24*4500*T24)/(2*U24)</f>
        <v>2.1870360051861799</v>
      </c>
      <c r="W24" s="40">
        <f t="shared" si="3"/>
        <v>482.36730727936816</v>
      </c>
      <c r="X24" s="32">
        <f t="shared" ref="X24:X72" si="27">((1.71*10^-6)*(S24^3))-(0.00173*(S24^2))+(0.6*S24)+536</f>
        <v>607.22588581296384</v>
      </c>
      <c r="Y24" s="32">
        <f t="shared" ref="Y24:Y72" si="28">((1.12*10^-5)*(S24^2))+(0.00982*S24)+6.4</f>
        <v>11.037762165909097</v>
      </c>
      <c r="Z24" s="33">
        <f t="shared" ref="Z24:Z72" si="29">($B24*$I24*4500*X24)/(2*Y24)</f>
        <v>1.8558900384850976</v>
      </c>
      <c r="AA24" s="33">
        <f t="shared" ref="AA24:AA72" si="30">(0.00527*(Z24^3))-(0.192*(Z24^2))+2.39*Z24</f>
        <v>3.8079536355640151</v>
      </c>
      <c r="AB24" s="39">
        <f t="shared" si="4"/>
        <v>374.06824428700372</v>
      </c>
      <c r="AC24" s="36">
        <f t="shared" ref="AC24:AC72" si="31">((1.71*10^-6)*(W24^3))-(0.00173*(W24^2))+(0.6*W24)+536</f>
        <v>614.81125117250497</v>
      </c>
      <c r="AD24" s="36">
        <f t="shared" ref="AD24:AD72" si="32">((1.12*10^-5)*(W24^2))+(0.00982*W24)+6.4</f>
        <v>13.742843011761218</v>
      </c>
      <c r="AE24" s="37">
        <f t="shared" ref="AE24:AE72" si="33">($B24*$I24*4500*AC24)/(2*AD24)</f>
        <v>1.509204935075378</v>
      </c>
      <c r="AF24" s="40">
        <f t="shared" si="5"/>
        <v>393.38290757068961</v>
      </c>
      <c r="AG24" s="32">
        <f t="shared" ref="AG24:AG72" si="34">((1.71*10^-6)*(AB24^3))-(0.00173*(AB24^2))+(0.6*AB24)+536</f>
        <v>607.87242328941829</v>
      </c>
      <c r="AH24" s="32">
        <f t="shared" ref="AH24:AH72" si="35">((1.12*10^-5)*(AB24^2))+(0.00982*AB24)+6.4</f>
        <v>11.640533134398746</v>
      </c>
      <c r="AI24" s="33">
        <f t="shared" ref="AI24:AI72" si="36">($B24*$I24*4500*AG24)/(2*AH24)</f>
        <v>1.7616619162060654</v>
      </c>
      <c r="AJ24" s="33">
        <f t="shared" ref="AJ24:AJ72" si="37">(0.00527*(AI24^3))-(0.192*(AI24^2))+2.39*AI24</f>
        <v>3.6433213854993811</v>
      </c>
      <c r="AK24" s="39">
        <f t="shared" si="6"/>
        <v>357.51519750512733</v>
      </c>
      <c r="AL24" s="36">
        <f t="shared" ref="AL24:AL72" si="38">((1.71*10^-6)*(AF24^3))-(0.00173*(AF24^2))+(0.6*AF24)+536</f>
        <v>608.41009461475323</v>
      </c>
      <c r="AM24" s="36">
        <f t="shared" ref="AM24:AM72" si="39">((1.12*10^-5)*(AF24^2))+(0.00982*AF24)+6.4</f>
        <v>11.996221406394394</v>
      </c>
      <c r="AN24" s="37">
        <f t="shared" ref="AN24:AN72" si="40">($B24*$I24*4500*AL24)/(2*AM24)</f>
        <v>1.7109406078228599</v>
      </c>
      <c r="AO24" s="40">
        <f t="shared" si="7"/>
        <v>423.25708838618368</v>
      </c>
      <c r="AP24" s="32">
        <f>((1.71*10^-6)*(AK24^3))-(0.00173*(AK24^2))+(0.6*AK24)+536</f>
        <v>607.52662743877613</v>
      </c>
      <c r="AQ24" s="32">
        <f t="shared" ref="AQ24:AQ72" si="41">((1.12*10^-5)*(AK24^2))+(0.00982*AK24)+6.4</f>
        <v>11.34235094370821</v>
      </c>
      <c r="AR24" s="33">
        <f t="shared" ref="AR24:AR72" si="42">($B24*$I24*4500*AP24)/(2*AQ24)</f>
        <v>1.8069462428582164</v>
      </c>
      <c r="AS24" s="33">
        <f t="shared" ref="AS24:AS71" si="43">(0.00527*(AR24^3))-(0.192*(AR24^2))+2.39*AR24</f>
        <v>3.7228028453075868</v>
      </c>
      <c r="AT24" s="39">
        <f t="shared" si="8"/>
        <v>365.52255951097817</v>
      </c>
      <c r="AU24" s="36">
        <f t="shared" ref="AU24:AU72" si="44">((1.71*10^-6)*(AO24^3))-(0.00173*(AO24^2))+(0.6*AO24)+536</f>
        <v>609.69153920448593</v>
      </c>
      <c r="AV24" s="36">
        <f t="shared" ref="AV24:AV72" si="45">((1.12*10^-5)*(AO24^2))+(0.00982*AO24)+6.4</f>
        <v>12.562826112086801</v>
      </c>
      <c r="AW24" s="37">
        <f t="shared" ref="AW24:AW72" si="46">($B24*$I24*4500*AU24)/(2*AV24)</f>
        <v>1.6372153782448859</v>
      </c>
      <c r="AX24" s="40">
        <f t="shared" si="9"/>
        <v>413.16728236649908</v>
      </c>
      <c r="AY24" s="2">
        <f>AVERAGE(AW24,AR24,AN24,AI24,AE24,Z24,V24,Q24)</f>
        <v>1.7669348142682417</v>
      </c>
      <c r="AZ24" s="2">
        <f t="shared" ref="AZ24:AZ72" si="47">AVERAGE(AT24,AK24,AB24,S24)</f>
        <v>359.33731563802644</v>
      </c>
      <c r="BA24" s="2">
        <f t="shared" ref="BA24:BA72" si="48">AVERAGE(AX24,AO24,AF24,W24)</f>
        <v>428.04364640068513</v>
      </c>
      <c r="BB24" s="44">
        <f>IF(AY24&gt;5,BA24,AZ24)</f>
        <v>359.33731563802644</v>
      </c>
      <c r="BC24">
        <f t="shared" ref="BC24:BC72" si="49">A24</f>
        <v>12</v>
      </c>
      <c r="BD24" s="2">
        <f t="shared" ref="BD24:BD72" si="50">I24*10^6</f>
        <v>74.967060417184186</v>
      </c>
      <c r="BE24" s="2">
        <f t="shared" ref="BE24:BE72" si="51">BB24*0.8</f>
        <v>287.46985251042116</v>
      </c>
      <c r="BF24" s="2">
        <f t="shared" si="10"/>
        <v>112.79509478477084</v>
      </c>
      <c r="BG24" s="24">
        <f t="shared" si="11"/>
        <v>1.5045954070638148</v>
      </c>
    </row>
    <row r="25" spans="1:61" x14ac:dyDescent="0.25">
      <c r="A25">
        <f t="shared" si="12"/>
        <v>18</v>
      </c>
      <c r="B25">
        <v>0.3</v>
      </c>
      <c r="C25" s="2">
        <f>BB24</f>
        <v>359.33731563802644</v>
      </c>
      <c r="D25" s="2">
        <f t="shared" si="13"/>
        <v>11.374873471356779</v>
      </c>
      <c r="E25" s="2">
        <f t="shared" si="14"/>
        <v>607.56105544654542</v>
      </c>
      <c r="F25" s="25">
        <f t="shared" si="15"/>
        <v>1.5714328715448818</v>
      </c>
      <c r="G25">
        <f t="shared" si="16"/>
        <v>6.9539375504473516E-5</v>
      </c>
      <c r="H25">
        <f t="shared" si="17"/>
        <v>1.2123820139276663E-4</v>
      </c>
      <c r="I25" s="51">
        <f>(H25+$E$8)/2</f>
        <v>6.6334126847763988E-5</v>
      </c>
      <c r="J25" s="28">
        <f t="shared" ref="J25:J72" si="52">IF(0.6*F25^-0.4&gt;1,1,0.6*F25^-0.4)</f>
        <v>0.50076378914201802</v>
      </c>
      <c r="K25" s="24">
        <f t="shared" ref="K25:K72" si="53">(B25*I25*4500*E25)/(2*D25)</f>
        <v>2.3915757612016852</v>
      </c>
      <c r="L25" s="33">
        <f t="shared" ref="L25:L72" si="54">(0.00527*(K25^3))-(0.192*(K25^2))+2.39*K25</f>
        <v>4.6897842332218822</v>
      </c>
      <c r="M25" s="39">
        <f t="shared" ref="M25:M72" si="55">$C$16*L25*0.159*$C$12*J25*2/(4500*E25*$E$11*I25)</f>
        <v>467.78622489611655</v>
      </c>
      <c r="N25" s="40">
        <f t="shared" si="18"/>
        <v>254.55425462672619</v>
      </c>
      <c r="O25" s="32">
        <f t="shared" si="19"/>
        <v>613.1467378124803</v>
      </c>
      <c r="P25" s="32">
        <f t="shared" si="20"/>
        <v>13.444488993148539</v>
      </c>
      <c r="Q25" s="33">
        <f t="shared" si="21"/>
        <v>2.0420243279290298</v>
      </c>
      <c r="R25" s="33">
        <f t="shared" si="22"/>
        <v>4.124698231362915</v>
      </c>
      <c r="S25" s="39">
        <f t="shared" si="23"/>
        <v>407.67328504834495</v>
      </c>
      <c r="T25" s="36">
        <f t="shared" si="24"/>
        <v>604.83796023893888</v>
      </c>
      <c r="U25" s="36">
        <f t="shared" si="25"/>
        <v>9.6254589081784161</v>
      </c>
      <c r="V25" s="37">
        <f t="shared" si="26"/>
        <v>2.8135742817780276</v>
      </c>
      <c r="W25" s="40">
        <f t="shared" si="3"/>
        <v>554.68748186942537</v>
      </c>
      <c r="X25" s="32">
        <f t="shared" si="27"/>
        <v>608.94210859951511</v>
      </c>
      <c r="Y25" s="32">
        <f t="shared" si="28"/>
        <v>12.264763741406369</v>
      </c>
      <c r="Z25" s="33">
        <f t="shared" si="29"/>
        <v>2.2230928903611686</v>
      </c>
      <c r="AA25" s="33">
        <f t="shared" si="30"/>
        <v>4.4222013948295231</v>
      </c>
      <c r="AB25" s="39">
        <f t="shared" si="4"/>
        <v>440.09557807807187</v>
      </c>
      <c r="AC25" s="36">
        <f t="shared" si="31"/>
        <v>628.36677176745934</v>
      </c>
      <c r="AD25" s="36">
        <f t="shared" si="32"/>
        <v>15.293026940435372</v>
      </c>
      <c r="AE25" s="37">
        <f t="shared" si="33"/>
        <v>1.8397573536416776</v>
      </c>
      <c r="AF25" s="40">
        <f t="shared" si="5"/>
        <v>431.74296986847349</v>
      </c>
      <c r="AG25" s="32">
        <f t="shared" si="34"/>
        <v>610.74340868698312</v>
      </c>
      <c r="AH25" s="32">
        <f t="shared" si="35"/>
        <v>12.891000696578036</v>
      </c>
      <c r="AI25" s="33">
        <f t="shared" si="36"/>
        <v>2.1213530194728722</v>
      </c>
      <c r="AJ25" s="33">
        <f t="shared" si="37"/>
        <v>4.2563165356718162</v>
      </c>
      <c r="AK25" s="39">
        <f t="shared" si="6"/>
        <v>422.33747986591766</v>
      </c>
      <c r="AL25" s="36">
        <f t="shared" si="38"/>
        <v>610.1872875729598</v>
      </c>
      <c r="AM25" s="36">
        <f t="shared" si="39"/>
        <v>12.727418274853926</v>
      </c>
      <c r="AN25" s="37">
        <f t="shared" si="40"/>
        <v>2.1466618006058305</v>
      </c>
      <c r="AO25" s="40">
        <f t="shared" si="7"/>
        <v>480.26050239219575</v>
      </c>
      <c r="AP25" s="32">
        <f t="shared" ref="AP25:AP72" si="56">((1.71*10^-6)*(AK25^3))-(0.00173*(AK25^2))+(0.6*AK25)+536</f>
        <v>609.64174428240324</v>
      </c>
      <c r="AQ25" s="32">
        <f t="shared" si="41"/>
        <v>12.545086257557649</v>
      </c>
      <c r="AR25" s="33">
        <f t="shared" si="42"/>
        <v>2.1759145435510177</v>
      </c>
      <c r="AS25" s="33">
        <f t="shared" si="43"/>
        <v>4.3456838066897578</v>
      </c>
      <c r="AT25" s="39">
        <f t="shared" si="8"/>
        <v>431.98425827607156</v>
      </c>
      <c r="AU25" s="36">
        <f t="shared" si="44"/>
        <v>614.55193011780875</v>
      </c>
      <c r="AV25" s="36">
        <f t="shared" si="45"/>
        <v>13.699439815261011</v>
      </c>
      <c r="AW25" s="37">
        <f t="shared" si="46"/>
        <v>2.0086143820313902</v>
      </c>
      <c r="AX25" s="40">
        <f t="shared" si="9"/>
        <v>461.26224584680676</v>
      </c>
      <c r="AY25" s="2">
        <f t="shared" ref="AY25:AY72" si="57">AVERAGE(AW25,AR25,AN25,AI25,AE25,Z25,V25,Q25)</f>
        <v>2.1713740749213768</v>
      </c>
      <c r="AZ25" s="2">
        <f t="shared" si="47"/>
        <v>425.52265031710152</v>
      </c>
      <c r="BA25" s="2">
        <f t="shared" si="48"/>
        <v>481.98829999422537</v>
      </c>
      <c r="BB25" s="44">
        <f>IF(AY25&gt;5,BA25,AZ25)</f>
        <v>425.52265031710152</v>
      </c>
      <c r="BC25">
        <f t="shared" si="49"/>
        <v>18</v>
      </c>
      <c r="BD25" s="2">
        <f t="shared" si="50"/>
        <v>66.334126847763983</v>
      </c>
      <c r="BE25" s="2">
        <f t="shared" si="51"/>
        <v>340.41812025368125</v>
      </c>
      <c r="BF25" s="2">
        <f t="shared" si="10"/>
        <v>90.032578518663357</v>
      </c>
      <c r="BG25" s="24">
        <f t="shared" si="11"/>
        <v>1.3572588167970769</v>
      </c>
      <c r="BH25" t="s">
        <v>12</v>
      </c>
      <c r="BI25" t="s">
        <v>10</v>
      </c>
    </row>
    <row r="26" spans="1:61" x14ac:dyDescent="0.25">
      <c r="A26">
        <f t="shared" si="12"/>
        <v>24</v>
      </c>
      <c r="B26">
        <v>0.4</v>
      </c>
      <c r="C26" s="2">
        <f t="shared" ref="C26:C72" si="58">BB25</f>
        <v>425.52265031710152</v>
      </c>
      <c r="D26" s="2">
        <f t="shared" si="13"/>
        <v>12.606611116562309</v>
      </c>
      <c r="E26" s="2">
        <f t="shared" si="14"/>
        <v>609.81741593528886</v>
      </c>
      <c r="F26" s="25">
        <f t="shared" si="15"/>
        <v>1.8975476218517111</v>
      </c>
      <c r="G26">
        <f t="shared" si="16"/>
        <v>6.3282315408581124E-5</v>
      </c>
      <c r="H26">
        <f t="shared" si="17"/>
        <v>1.1032935001857441E-4</v>
      </c>
      <c r="I26" s="51">
        <f t="shared" ref="I26:I72" si="59">(H26+$E$8)/2</f>
        <v>6.0879701160667875E-5</v>
      </c>
      <c r="J26" s="28">
        <f t="shared" si="52"/>
        <v>0.46438071597737196</v>
      </c>
      <c r="K26" s="24">
        <f t="shared" si="53"/>
        <v>2.650430915279264</v>
      </c>
      <c r="L26" s="33">
        <f t="shared" si="54"/>
        <v>5.0838919266885627</v>
      </c>
      <c r="M26" s="39">
        <f t="shared" si="55"/>
        <v>510.48942000118637</v>
      </c>
      <c r="N26" s="40">
        <f t="shared" si="18"/>
        <v>269.76922377741982</v>
      </c>
      <c r="O26" s="32">
        <f t="shared" si="19"/>
        <v>618.94348343428385</v>
      </c>
      <c r="P26" s="32">
        <f t="shared" si="20"/>
        <v>14.331719921262906</v>
      </c>
      <c r="Q26" s="33">
        <f t="shared" si="21"/>
        <v>2.3662885586973843</v>
      </c>
      <c r="R26" s="33">
        <f t="shared" si="22"/>
        <v>4.6501853663811072</v>
      </c>
      <c r="S26" s="39">
        <f t="shared" si="23"/>
        <v>460.05476112028902</v>
      </c>
      <c r="T26" s="36">
        <f t="shared" si="24"/>
        <v>605.5317320246088</v>
      </c>
      <c r="U26" s="36">
        <f t="shared" si="25"/>
        <v>9.8642186393859461</v>
      </c>
      <c r="V26" s="37">
        <f t="shared" si="26"/>
        <v>3.3634830099557873</v>
      </c>
      <c r="W26" s="40">
        <f t="shared" si="3"/>
        <v>612.09902748291495</v>
      </c>
      <c r="X26" s="32">
        <f t="shared" si="27"/>
        <v>612.38170439619671</v>
      </c>
      <c r="Y26" s="32">
        <f t="shared" si="28"/>
        <v>13.288222046371036</v>
      </c>
      <c r="Z26" s="33">
        <f t="shared" si="29"/>
        <v>2.5250521497023106</v>
      </c>
      <c r="AA26" s="33">
        <f t="shared" si="30"/>
        <v>4.8955481776109311</v>
      </c>
      <c r="AB26" s="39">
        <f t="shared" si="4"/>
        <v>489.51880606093312</v>
      </c>
      <c r="AC26" s="36">
        <f t="shared" si="31"/>
        <v>647.24667698580379</v>
      </c>
      <c r="AD26" s="36">
        <f t="shared" si="32"/>
        <v>16.607062907672166</v>
      </c>
      <c r="AE26" s="37">
        <f t="shared" si="33"/>
        <v>2.1354628474692134</v>
      </c>
      <c r="AF26" s="40">
        <f t="shared" si="5"/>
        <v>456.28916650285259</v>
      </c>
      <c r="AG26" s="32">
        <f t="shared" si="34"/>
        <v>615.74137828391656</v>
      </c>
      <c r="AH26" s="32">
        <f t="shared" si="35"/>
        <v>13.890915684176363</v>
      </c>
      <c r="AI26" s="33">
        <f t="shared" si="36"/>
        <v>2.4287481659971464</v>
      </c>
      <c r="AJ26" s="33">
        <f t="shared" si="37"/>
        <v>4.7476370604792084</v>
      </c>
      <c r="AK26" s="39">
        <f t="shared" si="6"/>
        <v>472.1385164857615</v>
      </c>
      <c r="AL26" s="36">
        <f t="shared" si="38"/>
        <v>612.0366681939031</v>
      </c>
      <c r="AM26" s="36">
        <f t="shared" si="39"/>
        <v>13.212597413898134</v>
      </c>
      <c r="AN26" s="37">
        <f t="shared" si="40"/>
        <v>2.5380738898348332</v>
      </c>
      <c r="AO26" s="40">
        <f t="shared" si="7"/>
        <v>526.0641000142632</v>
      </c>
      <c r="AP26" s="32">
        <f t="shared" si="56"/>
        <v>613.61231918497117</v>
      </c>
      <c r="AQ26" s="32">
        <f t="shared" si="41"/>
        <v>13.533045753883187</v>
      </c>
      <c r="AR26" s="33">
        <f t="shared" si="42"/>
        <v>2.4843543552484957</v>
      </c>
      <c r="AS26" s="33">
        <f t="shared" si="43"/>
        <v>4.8333871487742979</v>
      </c>
      <c r="AT26" s="39">
        <f t="shared" si="8"/>
        <v>482.33388390898864</v>
      </c>
      <c r="AU26" s="36">
        <f t="shared" si="44"/>
        <v>621.82229970529352</v>
      </c>
      <c r="AV26" s="36">
        <f t="shared" si="45"/>
        <v>14.665475960166813</v>
      </c>
      <c r="AW26" s="37">
        <f t="shared" si="46"/>
        <v>2.3231922574847159</v>
      </c>
      <c r="AX26" s="40">
        <f t="shared" si="9"/>
        <v>495.38204340081319</v>
      </c>
      <c r="AY26" s="2">
        <f t="shared" si="57"/>
        <v>2.5205819042987359</v>
      </c>
      <c r="AZ26" s="2">
        <f t="shared" si="47"/>
        <v>476.01149189399308</v>
      </c>
      <c r="BA26" s="2">
        <f t="shared" si="48"/>
        <v>522.45858435021103</v>
      </c>
      <c r="BB26" s="44">
        <f t="shared" ref="BB26:BB72" si="60">IF(AY26&gt;5,BA26,AZ26)</f>
        <v>476.01149189399308</v>
      </c>
      <c r="BC26">
        <f t="shared" si="49"/>
        <v>24</v>
      </c>
      <c r="BD26" s="2">
        <f t="shared" si="50"/>
        <v>60.879701160667878</v>
      </c>
      <c r="BE26" s="2">
        <f t="shared" si="51"/>
        <v>380.80919351519447</v>
      </c>
      <c r="BF26" s="2">
        <f t="shared" si="10"/>
        <v>76.692359713002602</v>
      </c>
      <c r="BG26" s="24">
        <f t="shared" si="11"/>
        <v>1.2597361394827393</v>
      </c>
      <c r="BH26">
        <v>20</v>
      </c>
      <c r="BI26">
        <v>1020</v>
      </c>
    </row>
    <row r="27" spans="1:61" x14ac:dyDescent="0.25">
      <c r="A27" s="20">
        <f t="shared" si="12"/>
        <v>30</v>
      </c>
      <c r="B27" s="20">
        <v>0.5</v>
      </c>
      <c r="C27" s="27">
        <f t="shared" si="58"/>
        <v>476.01149189399308</v>
      </c>
      <c r="D27" s="2">
        <f t="shared" si="13"/>
        <v>13.612206583048637</v>
      </c>
      <c r="E27" s="2">
        <f t="shared" si="14"/>
        <v>614.04864692990645</v>
      </c>
      <c r="F27" s="25">
        <f t="shared" si="15"/>
        <v>2.2119508724175496</v>
      </c>
      <c r="G27">
        <f t="shared" si="16"/>
        <v>5.861259699878215E-5</v>
      </c>
      <c r="H27">
        <f t="shared" si="17"/>
        <v>1.0218794442055754E-4</v>
      </c>
      <c r="I27" s="51">
        <f t="shared" si="59"/>
        <v>5.6808998361659439E-5</v>
      </c>
      <c r="J27" s="28">
        <f t="shared" si="52"/>
        <v>0.43675819205116634</v>
      </c>
      <c r="K27" s="24">
        <f t="shared" si="53"/>
        <v>2.8829950831387232</v>
      </c>
      <c r="L27" s="33">
        <f t="shared" si="54"/>
        <v>5.4208016566730084</v>
      </c>
      <c r="M27" s="39">
        <f t="shared" si="55"/>
        <v>544.84536449985228</v>
      </c>
      <c r="N27" s="40">
        <f t="shared" si="18"/>
        <v>281.62773101168096</v>
      </c>
      <c r="O27" s="32">
        <f t="shared" si="19"/>
        <v>625.92241506658615</v>
      </c>
      <c r="P27" s="32">
        <f t="shared" si="20"/>
        <v>15.075173957018691</v>
      </c>
      <c r="Q27" s="33">
        <f t="shared" si="21"/>
        <v>2.6535533684455159</v>
      </c>
      <c r="R27" s="33">
        <f t="shared" si="22"/>
        <v>5.0885219868779963</v>
      </c>
      <c r="S27" s="39">
        <f t="shared" si="23"/>
        <v>501.74571580621148</v>
      </c>
      <c r="T27" s="36">
        <f t="shared" si="24"/>
        <v>605.95950267301521</v>
      </c>
      <c r="U27" s="36">
        <f t="shared" si="25"/>
        <v>10.053903121932329</v>
      </c>
      <c r="V27" s="37">
        <f t="shared" si="26"/>
        <v>3.8519315308921538</v>
      </c>
      <c r="W27" s="40">
        <f t="shared" si="3"/>
        <v>659.75382788589218</v>
      </c>
      <c r="X27" s="32">
        <f t="shared" si="27"/>
        <v>617.51877544010529</v>
      </c>
      <c r="Y27" s="32">
        <f t="shared" si="28"/>
        <v>14.146729078511738</v>
      </c>
      <c r="Z27" s="33">
        <f t="shared" si="29"/>
        <v>2.7897403541855774</v>
      </c>
      <c r="AA27" s="33">
        <f t="shared" si="30"/>
        <v>5.287630414469989</v>
      </c>
      <c r="AB27" s="39">
        <f t="shared" si="4"/>
        <v>528.47378295388842</v>
      </c>
      <c r="AC27" s="36">
        <f t="shared" si="31"/>
        <v>669.89461258945255</v>
      </c>
      <c r="AD27" s="36">
        <f t="shared" si="32"/>
        <v>17.753863860032439</v>
      </c>
      <c r="AE27" s="37">
        <f t="shared" si="33"/>
        <v>2.4114777228349942</v>
      </c>
      <c r="AF27" s="40">
        <f t="shared" si="5"/>
        <v>472.1949974539304</v>
      </c>
      <c r="AG27" s="32">
        <f t="shared" si="34"/>
        <v>622.30870928599052</v>
      </c>
      <c r="AH27" s="32">
        <f t="shared" si="35"/>
        <v>14.717599388426633</v>
      </c>
      <c r="AI27" s="33">
        <f t="shared" si="36"/>
        <v>2.7023310801171543</v>
      </c>
      <c r="AJ27" s="33">
        <f t="shared" si="37"/>
        <v>5.1604716847300196</v>
      </c>
      <c r="AK27" s="39">
        <f t="shared" si="6"/>
        <v>511.79500434027022</v>
      </c>
      <c r="AL27" s="36">
        <f t="shared" si="38"/>
        <v>613.61853167589493</v>
      </c>
      <c r="AM27" s="36">
        <f t="shared" si="39"/>
        <v>13.534197769947392</v>
      </c>
      <c r="AN27" s="37">
        <f t="shared" si="40"/>
        <v>2.8975811198667518</v>
      </c>
      <c r="AO27" s="40">
        <f t="shared" si="7"/>
        <v>565.0743240906927</v>
      </c>
      <c r="AP27" s="32">
        <f t="shared" si="56"/>
        <v>619.16771115608412</v>
      </c>
      <c r="AQ27" s="32">
        <f t="shared" si="41"/>
        <v>14.359489159059216</v>
      </c>
      <c r="AR27" s="33">
        <f t="shared" si="42"/>
        <v>2.7557445976255934</v>
      </c>
      <c r="AS27" s="33">
        <f t="shared" si="43"/>
        <v>5.2384447662233926</v>
      </c>
      <c r="AT27" s="39">
        <f t="shared" si="8"/>
        <v>522.1635962273582</v>
      </c>
      <c r="AU27" s="36">
        <f t="shared" si="44"/>
        <v>631.18100342810021</v>
      </c>
      <c r="AV27" s="36">
        <f t="shared" si="45"/>
        <v>15.525290570131999</v>
      </c>
      <c r="AW27" s="37">
        <f t="shared" si="46"/>
        <v>2.598267354877708</v>
      </c>
      <c r="AX27" s="40">
        <f t="shared" si="9"/>
        <v>520.20466042388216</v>
      </c>
      <c r="AY27" s="27">
        <f t="shared" si="57"/>
        <v>2.832578391105681</v>
      </c>
      <c r="AZ27" s="27">
        <f t="shared" si="47"/>
        <v>516.04452483193211</v>
      </c>
      <c r="BA27" s="27">
        <f t="shared" si="48"/>
        <v>554.30695246359937</v>
      </c>
      <c r="BB27" s="49">
        <f>IF(AY27&gt;5,BA27,AZ27)</f>
        <v>516.04452483193211</v>
      </c>
      <c r="BC27" s="20">
        <f t="shared" si="49"/>
        <v>30</v>
      </c>
      <c r="BD27" s="27">
        <f>I27*10^6</f>
        <v>56.808998361659441</v>
      </c>
      <c r="BE27" s="27">
        <f t="shared" si="51"/>
        <v>412.83561986554571</v>
      </c>
      <c r="BF27" s="27">
        <f t="shared" si="10"/>
        <v>67.508142554268915</v>
      </c>
      <c r="BG27" s="54">
        <f t="shared" si="11"/>
        <v>1.1883353782176584</v>
      </c>
      <c r="BH27">
        <v>50</v>
      </c>
      <c r="BI27">
        <v>350</v>
      </c>
    </row>
    <row r="28" spans="1:61" x14ac:dyDescent="0.25">
      <c r="A28">
        <f t="shared" si="12"/>
        <v>36</v>
      </c>
      <c r="B28">
        <v>0.6</v>
      </c>
      <c r="C28" s="2">
        <f t="shared" si="58"/>
        <v>516.04452483193211</v>
      </c>
      <c r="D28" s="2">
        <f t="shared" si="13"/>
        <v>14.450139091870538</v>
      </c>
      <c r="E28" s="2">
        <f t="shared" si="14"/>
        <v>619.91880419217614</v>
      </c>
      <c r="F28" s="25">
        <f t="shared" si="15"/>
        <v>2.5243249422853449</v>
      </c>
      <c r="G28">
        <f t="shared" si="16"/>
        <v>5.4866350524631035E-5</v>
      </c>
      <c r="H28">
        <f t="shared" si="17"/>
        <v>9.565656300959193E-5</v>
      </c>
      <c r="I28" s="51">
        <f t="shared" si="59"/>
        <v>5.3543307656176636E-5</v>
      </c>
      <c r="J28" s="28">
        <f t="shared" si="52"/>
        <v>0.41427921723451872</v>
      </c>
      <c r="K28" s="24">
        <f t="shared" si="53"/>
        <v>3.1009998664351306</v>
      </c>
      <c r="L28" s="33">
        <f t="shared" si="54"/>
        <v>5.7222297806369866</v>
      </c>
      <c r="M28" s="39">
        <f t="shared" si="55"/>
        <v>573.33311678534267</v>
      </c>
      <c r="N28" s="40">
        <f t="shared" si="18"/>
        <v>291.16309739020073</v>
      </c>
      <c r="O28" s="32">
        <f t="shared" si="19"/>
        <v>633.59808559356281</v>
      </c>
      <c r="P28" s="32">
        <f t="shared" si="20"/>
        <v>15.711692870223375</v>
      </c>
      <c r="Q28" s="33">
        <f t="shared" si="21"/>
        <v>2.9149414792630668</v>
      </c>
      <c r="R28" s="33">
        <f t="shared" si="22"/>
        <v>5.4658353742805978</v>
      </c>
      <c r="S28" s="39">
        <f t="shared" si="23"/>
        <v>535.82038944708563</v>
      </c>
      <c r="T28" s="36">
        <f t="shared" si="24"/>
        <v>606.24447001735075</v>
      </c>
      <c r="U28" s="36">
        <f t="shared" si="25"/>
        <v>10.208712248328553</v>
      </c>
      <c r="V28" s="37">
        <f t="shared" si="26"/>
        <v>4.292554248526077</v>
      </c>
      <c r="W28" s="40">
        <f t="shared" si="3"/>
        <v>700.58424880303107</v>
      </c>
      <c r="X28" s="32">
        <f t="shared" si="27"/>
        <v>623.8625917119889</v>
      </c>
      <c r="Y28" s="32">
        <f t="shared" si="28"/>
        <v>14.877315309539318</v>
      </c>
      <c r="Z28" s="33">
        <f t="shared" si="29"/>
        <v>3.0311214815367302</v>
      </c>
      <c r="AA28" s="33">
        <f t="shared" si="30"/>
        <v>5.6271068058180171</v>
      </c>
      <c r="AB28" s="39">
        <f t="shared" si="4"/>
        <v>560.23825207994548</v>
      </c>
      <c r="AC28" s="36">
        <f t="shared" si="31"/>
        <v>695.23476048422572</v>
      </c>
      <c r="AD28" s="36">
        <f t="shared" si="32"/>
        <v>18.776902167559932</v>
      </c>
      <c r="AE28" s="37">
        <f t="shared" si="33"/>
        <v>2.6763721332346919</v>
      </c>
      <c r="AF28" s="40">
        <f t="shared" si="5"/>
        <v>482.38304486661991</v>
      </c>
      <c r="AG28" s="32">
        <f t="shared" si="34"/>
        <v>629.8400312331014</v>
      </c>
      <c r="AH28" s="32">
        <f t="shared" si="35"/>
        <v>15.416848905273302</v>
      </c>
      <c r="AI28" s="33">
        <f t="shared" si="36"/>
        <v>2.9530690963176576</v>
      </c>
      <c r="AJ28" s="33">
        <f t="shared" si="37"/>
        <v>5.5191927813883996</v>
      </c>
      <c r="AK28" s="39">
        <f t="shared" si="6"/>
        <v>544.2793393824038</v>
      </c>
      <c r="AL28" s="36">
        <f t="shared" si="38"/>
        <v>614.81321302168533</v>
      </c>
      <c r="AM28" s="36">
        <f t="shared" si="39"/>
        <v>13.743167602707873</v>
      </c>
      <c r="AN28" s="37">
        <f t="shared" si="40"/>
        <v>3.2336671469183056</v>
      </c>
      <c r="AO28" s="40">
        <f t="shared" si="7"/>
        <v>599.59047842191762</v>
      </c>
      <c r="AP28" s="32">
        <f t="shared" si="56"/>
        <v>625.7882068687677</v>
      </c>
      <c r="AQ28" s="32">
        <f t="shared" si="41"/>
        <v>15.062711104654921</v>
      </c>
      <c r="AR28" s="33">
        <f t="shared" si="42"/>
        <v>3.003054353528436</v>
      </c>
      <c r="AS28" s="33">
        <f t="shared" si="43"/>
        <v>5.5885045450774875</v>
      </c>
      <c r="AT28" s="39">
        <f t="shared" si="8"/>
        <v>554.68290197205499</v>
      </c>
      <c r="AU28" s="36">
        <f t="shared" si="44"/>
        <v>642.4083753516843</v>
      </c>
      <c r="AV28" s="36">
        <f t="shared" si="45"/>
        <v>16.314476406422543</v>
      </c>
      <c r="AW28" s="37">
        <f t="shared" si="46"/>
        <v>2.8462760541248779</v>
      </c>
      <c r="AX28" s="40">
        <f t="shared" si="9"/>
        <v>538.36594213033709</v>
      </c>
      <c r="AY28" s="2">
        <f t="shared" si="57"/>
        <v>3.1188819991812302</v>
      </c>
      <c r="AZ28" s="2">
        <f t="shared" si="47"/>
        <v>548.75522072037256</v>
      </c>
      <c r="BA28" s="2">
        <f t="shared" si="48"/>
        <v>580.23092855547645</v>
      </c>
      <c r="BB28" s="44">
        <f t="shared" si="60"/>
        <v>548.75522072037256</v>
      </c>
      <c r="BC28">
        <f t="shared" si="49"/>
        <v>36</v>
      </c>
      <c r="BD28" s="2">
        <f t="shared" si="50"/>
        <v>53.543307656176637</v>
      </c>
      <c r="BE28" s="2">
        <f t="shared" si="51"/>
        <v>439.00417657629805</v>
      </c>
      <c r="BF28" s="2">
        <f t="shared" si="10"/>
        <v>60.636722652075093</v>
      </c>
      <c r="BG28" s="24">
        <f t="shared" si="11"/>
        <v>1.1324799551318003</v>
      </c>
      <c r="BH28">
        <v>100</v>
      </c>
      <c r="BI28">
        <v>192</v>
      </c>
    </row>
    <row r="29" spans="1:61" x14ac:dyDescent="0.25">
      <c r="A29">
        <f t="shared" si="12"/>
        <v>42</v>
      </c>
      <c r="B29">
        <v>0.7</v>
      </c>
      <c r="C29" s="2">
        <f t="shared" si="58"/>
        <v>548.75522072037256</v>
      </c>
      <c r="D29" s="2">
        <f t="shared" si="13"/>
        <v>15.161457940874145</v>
      </c>
      <c r="E29" s="2">
        <f t="shared" si="14"/>
        <v>626.8682057500348</v>
      </c>
      <c r="F29" s="25">
        <f t="shared" si="15"/>
        <v>2.8383408210882735</v>
      </c>
      <c r="G29">
        <f t="shared" si="16"/>
        <v>5.1742383599205664E-5</v>
      </c>
      <c r="H29">
        <f t="shared" si="17"/>
        <v>9.0210092883832778E-5</v>
      </c>
      <c r="I29" s="51">
        <f t="shared" si="59"/>
        <v>5.082007259329706E-5</v>
      </c>
      <c r="J29" s="28">
        <f t="shared" si="52"/>
        <v>0.39529874275178895</v>
      </c>
      <c r="K29" s="24">
        <f t="shared" si="53"/>
        <v>3.3094141314668022</v>
      </c>
      <c r="L29" s="33">
        <f t="shared" si="54"/>
        <v>5.9976866284055301</v>
      </c>
      <c r="M29" s="39">
        <f t="shared" si="55"/>
        <v>597.42896388138547</v>
      </c>
      <c r="N29" s="40">
        <f t="shared" si="18"/>
        <v>299.03483556976983</v>
      </c>
      <c r="O29" s="32">
        <f t="shared" si="19"/>
        <v>641.61554133116545</v>
      </c>
      <c r="P29" s="32">
        <f t="shared" si="20"/>
        <v>16.264271734420326</v>
      </c>
      <c r="Q29" s="33">
        <f t="shared" si="21"/>
        <v>3.1575925776946141</v>
      </c>
      <c r="R29" s="33">
        <f t="shared" si="22"/>
        <v>5.7982436284547436</v>
      </c>
      <c r="S29" s="39">
        <f t="shared" si="23"/>
        <v>564.28737125757834</v>
      </c>
      <c r="T29" s="36">
        <f t="shared" si="24"/>
        <v>606.44694614096284</v>
      </c>
      <c r="U29" s="36">
        <f t="shared" si="25"/>
        <v>10.338046613598621</v>
      </c>
      <c r="V29" s="37">
        <f t="shared" si="26"/>
        <v>4.695373738542151</v>
      </c>
      <c r="W29" s="40">
        <f t="shared" si="3"/>
        <v>736.36770619140839</v>
      </c>
      <c r="X29" s="32">
        <f t="shared" si="27"/>
        <v>630.95909908974545</v>
      </c>
      <c r="Y29" s="32">
        <f t="shared" si="28"/>
        <v>15.507608644190247</v>
      </c>
      <c r="Z29" s="33">
        <f t="shared" si="29"/>
        <v>3.2566584590119447</v>
      </c>
      <c r="AA29" s="33">
        <f t="shared" si="30"/>
        <v>5.9291188630878437</v>
      </c>
      <c r="AB29" s="39">
        <f t="shared" si="4"/>
        <v>586.76972190985362</v>
      </c>
      <c r="AC29" s="36">
        <f t="shared" si="31"/>
        <v>722.5291711848522</v>
      </c>
      <c r="AD29" s="36">
        <f t="shared" si="32"/>
        <v>19.70418974048151</v>
      </c>
      <c r="AE29" s="37">
        <f t="shared" si="33"/>
        <v>2.935030672514694</v>
      </c>
      <c r="AF29" s="40">
        <f t="shared" si="5"/>
        <v>488.65618536626278</v>
      </c>
      <c r="AG29" s="32">
        <f t="shared" si="34"/>
        <v>637.88620708090536</v>
      </c>
      <c r="AH29" s="32">
        <f t="shared" si="35"/>
        <v>16.018224182516633</v>
      </c>
      <c r="AI29" s="33">
        <f t="shared" si="36"/>
        <v>3.1874595582298011</v>
      </c>
      <c r="AJ29" s="33">
        <f t="shared" si="37"/>
        <v>5.8379929231261043</v>
      </c>
      <c r="AK29" s="39">
        <f t="shared" si="6"/>
        <v>571.47745112329233</v>
      </c>
      <c r="AL29" s="36">
        <f t="shared" si="38"/>
        <v>615.62502168121546</v>
      </c>
      <c r="AM29" s="36">
        <f t="shared" si="39"/>
        <v>13.872994256259823</v>
      </c>
      <c r="AN29" s="37">
        <f t="shared" si="40"/>
        <v>3.551909533719193</v>
      </c>
      <c r="AO29" s="40">
        <f t="shared" si="7"/>
        <v>630.90961921771725</v>
      </c>
      <c r="AP29" s="32">
        <f t="shared" si="56"/>
        <v>633.04080609167499</v>
      </c>
      <c r="AQ29" s="32">
        <f t="shared" si="41"/>
        <v>15.669677114025331</v>
      </c>
      <c r="AR29" s="33">
        <f t="shared" si="42"/>
        <v>3.233608943594775</v>
      </c>
      <c r="AS29" s="33">
        <f t="shared" si="43"/>
        <v>5.8989156361524913</v>
      </c>
      <c r="AT29" s="39">
        <f t="shared" si="8"/>
        <v>581.86096889428939</v>
      </c>
      <c r="AU29" s="36">
        <f t="shared" si="44"/>
        <v>655.35967048993155</v>
      </c>
      <c r="AV29" s="36">
        <f t="shared" si="45"/>
        <v>17.053658274078167</v>
      </c>
      <c r="AW29" s="37">
        <f t="shared" si="46"/>
        <v>3.0759409595674074</v>
      </c>
      <c r="AX29" s="40">
        <f t="shared" si="9"/>
        <v>551.52061395748206</v>
      </c>
      <c r="AY29" s="2">
        <f t="shared" si="57"/>
        <v>3.3866968053593229</v>
      </c>
      <c r="AZ29" s="2">
        <f t="shared" si="47"/>
        <v>576.09887829625336</v>
      </c>
      <c r="BA29" s="2">
        <f t="shared" si="48"/>
        <v>601.86353118321767</v>
      </c>
      <c r="BB29" s="44">
        <f t="shared" si="60"/>
        <v>576.09887829625336</v>
      </c>
      <c r="BC29">
        <f t="shared" si="49"/>
        <v>42</v>
      </c>
      <c r="BD29" s="2">
        <f t="shared" si="50"/>
        <v>50.820072593297063</v>
      </c>
      <c r="BE29" s="2">
        <f t="shared" si="51"/>
        <v>460.87910263700269</v>
      </c>
      <c r="BF29" s="2">
        <f t="shared" si="10"/>
        <v>55.230263814784763</v>
      </c>
      <c r="BG29" s="24">
        <f t="shared" si="11"/>
        <v>1.0867804982645652</v>
      </c>
    </row>
    <row r="30" spans="1:61" x14ac:dyDescent="0.25">
      <c r="A30">
        <f t="shared" si="12"/>
        <v>48</v>
      </c>
      <c r="B30">
        <v>0.8</v>
      </c>
      <c r="C30" s="2">
        <f t="shared" si="58"/>
        <v>576.09887829625336</v>
      </c>
      <c r="D30" s="2">
        <f t="shared" si="13"/>
        <v>15.774458061700264</v>
      </c>
      <c r="E30" s="2">
        <f t="shared" si="14"/>
        <v>634.44417936167383</v>
      </c>
      <c r="F30" s="25">
        <f t="shared" si="15"/>
        <v>3.155441855637382</v>
      </c>
      <c r="G30">
        <f t="shared" si="16"/>
        <v>4.9073678345992939E-5</v>
      </c>
      <c r="H30">
        <f t="shared" si="17"/>
        <v>8.5557347261661857E-5</v>
      </c>
      <c r="I30" s="51">
        <f t="shared" si="59"/>
        <v>4.84936997822116E-5</v>
      </c>
      <c r="J30" s="28">
        <f t="shared" si="52"/>
        <v>0.37890224422549645</v>
      </c>
      <c r="K30" s="24">
        <f t="shared" si="53"/>
        <v>3.5107248563439239</v>
      </c>
      <c r="L30" s="33">
        <f t="shared" si="54"/>
        <v>6.252230846421166</v>
      </c>
      <c r="M30" s="39">
        <f t="shared" si="55"/>
        <v>618.11892404912533</v>
      </c>
      <c r="N30" s="40">
        <f t="shared" si="18"/>
        <v>305.68853763200065</v>
      </c>
      <c r="O30" s="32">
        <f t="shared" si="19"/>
        <v>649.73121094321527</v>
      </c>
      <c r="P30" s="32">
        <f t="shared" si="20"/>
        <v>16.749123081960072</v>
      </c>
      <c r="Q30" s="33">
        <f t="shared" si="21"/>
        <v>3.3860976620196017</v>
      </c>
      <c r="R30" s="33">
        <f t="shared" si="22"/>
        <v>6.095968809700155</v>
      </c>
      <c r="S30" s="39">
        <f t="shared" si="23"/>
        <v>588.49050409856193</v>
      </c>
      <c r="T30" s="36">
        <f t="shared" si="24"/>
        <v>606.59895245833775</v>
      </c>
      <c r="U30" s="36">
        <f t="shared" si="25"/>
        <v>10.448450838389668</v>
      </c>
      <c r="V30" s="37">
        <f t="shared" si="26"/>
        <v>5.0676612541591126</v>
      </c>
      <c r="W30" s="40">
        <f t="shared" si="3"/>
        <v>768.2566050471039</v>
      </c>
      <c r="X30" s="32">
        <f t="shared" si="27"/>
        <v>638.46823930823268</v>
      </c>
      <c r="Y30" s="32">
        <f t="shared" si="28"/>
        <v>16.05777277248669</v>
      </c>
      <c r="Z30" s="33">
        <f t="shared" si="29"/>
        <v>3.4706579549420757</v>
      </c>
      <c r="AA30" s="33">
        <f t="shared" si="30"/>
        <v>6.2024589280179541</v>
      </c>
      <c r="AB30" s="39">
        <f t="shared" si="4"/>
        <v>609.33349449556772</v>
      </c>
      <c r="AC30" s="36">
        <f t="shared" si="31"/>
        <v>751.25721463954801</v>
      </c>
      <c r="AD30" s="36">
        <f t="shared" si="32"/>
        <v>20.554723826985779</v>
      </c>
      <c r="AE30" s="37">
        <f t="shared" si="33"/>
        <v>3.1903243185694352</v>
      </c>
      <c r="AF30" s="40">
        <f t="shared" si="5"/>
        <v>492.19016543715611</v>
      </c>
      <c r="AG30" s="32">
        <f t="shared" si="34"/>
        <v>646.13967995739563</v>
      </c>
      <c r="AH30" s="32">
        <f t="shared" si="35"/>
        <v>16.542072760105292</v>
      </c>
      <c r="AI30" s="33">
        <f t="shared" si="36"/>
        <v>3.4095283826240297</v>
      </c>
      <c r="AJ30" s="33">
        <f t="shared" si="37"/>
        <v>6.1256735528222608</v>
      </c>
      <c r="AK30" s="39">
        <f t="shared" si="6"/>
        <v>594.64516102672417</v>
      </c>
      <c r="AL30" s="36">
        <f t="shared" si="38"/>
        <v>616.10911525769268</v>
      </c>
      <c r="AM30" s="36">
        <f t="shared" si="39"/>
        <v>13.946520404867091</v>
      </c>
      <c r="AN30" s="37">
        <f t="shared" si="40"/>
        <v>3.8561115806588537</v>
      </c>
      <c r="AO30" s="40">
        <f t="shared" si="7"/>
        <v>659.81370525244211</v>
      </c>
      <c r="AP30" s="32">
        <f t="shared" si="56"/>
        <v>640.6128161015813</v>
      </c>
      <c r="AQ30" s="32">
        <f t="shared" si="41"/>
        <v>16.199767597646421</v>
      </c>
      <c r="AR30" s="33">
        <f t="shared" si="42"/>
        <v>3.4517923611030721</v>
      </c>
      <c r="AS30" s="33">
        <f t="shared" si="43"/>
        <v>6.1788713691121702</v>
      </c>
      <c r="AT30" s="39">
        <f t="shared" si="8"/>
        <v>604.9841320940925</v>
      </c>
      <c r="AU30" s="36">
        <f t="shared" si="44"/>
        <v>669.92756383253936</v>
      </c>
      <c r="AV30" s="36">
        <f t="shared" si="45"/>
        <v>17.755336792735299</v>
      </c>
      <c r="AW30" s="37">
        <f t="shared" si="46"/>
        <v>3.2934930924717043</v>
      </c>
      <c r="AX30" s="40">
        <f t="shared" si="9"/>
        <v>560.79573463371935</v>
      </c>
      <c r="AY30" s="2">
        <f t="shared" si="57"/>
        <v>3.640708325818486</v>
      </c>
      <c r="AZ30" s="2">
        <f t="shared" si="47"/>
        <v>599.36332292873658</v>
      </c>
      <c r="BA30" s="2">
        <f t="shared" si="48"/>
        <v>620.26405259260537</v>
      </c>
      <c r="BB30" s="44">
        <f t="shared" si="60"/>
        <v>599.36332292873658</v>
      </c>
      <c r="BC30">
        <f t="shared" si="49"/>
        <v>48</v>
      </c>
      <c r="BD30" s="2">
        <f t="shared" si="50"/>
        <v>48.4936997822116</v>
      </c>
      <c r="BE30" s="2">
        <f t="shared" si="51"/>
        <v>479.49065834298926</v>
      </c>
      <c r="BF30" s="2">
        <f t="shared" si="10"/>
        <v>50.830264741001372</v>
      </c>
      <c r="BG30" s="24">
        <f t="shared" si="11"/>
        <v>1.0481828561088025</v>
      </c>
    </row>
    <row r="31" spans="1:61" x14ac:dyDescent="0.25">
      <c r="A31">
        <f t="shared" si="12"/>
        <v>54</v>
      </c>
      <c r="B31">
        <v>0.9</v>
      </c>
      <c r="C31" s="2">
        <f t="shared" si="58"/>
        <v>599.36332292873658</v>
      </c>
      <c r="D31" s="2">
        <f t="shared" si="13"/>
        <v>16.309195431328575</v>
      </c>
      <c r="E31" s="2">
        <f t="shared" si="14"/>
        <v>642.3244661228257</v>
      </c>
      <c r="F31" s="25">
        <f t="shared" si="15"/>
        <v>3.476127221105791</v>
      </c>
      <c r="G31">
        <f t="shared" si="16"/>
        <v>4.6755302555682787E-5</v>
      </c>
      <c r="H31">
        <f t="shared" si="17"/>
        <v>8.1515382419000094E-5</v>
      </c>
      <c r="I31" s="51">
        <f t="shared" si="59"/>
        <v>4.6472717360880718E-5</v>
      </c>
      <c r="J31" s="28">
        <f t="shared" si="52"/>
        <v>0.36451296955296547</v>
      </c>
      <c r="K31" s="24">
        <f t="shared" si="53"/>
        <v>3.70633800268882</v>
      </c>
      <c r="L31" s="33">
        <f t="shared" si="54"/>
        <v>6.4889705310252745</v>
      </c>
      <c r="M31" s="39">
        <f t="shared" si="55"/>
        <v>636.09920041598434</v>
      </c>
      <c r="N31" s="40">
        <f t="shared" si="18"/>
        <v>311.43346749417714</v>
      </c>
      <c r="O31" s="32">
        <f t="shared" si="19"/>
        <v>657.78267588615029</v>
      </c>
      <c r="P31" s="32">
        <f t="shared" si="20"/>
        <v>17.178262707107336</v>
      </c>
      <c r="Q31" s="33">
        <f t="shared" si="21"/>
        <v>3.6035146002630332</v>
      </c>
      <c r="R31" s="33">
        <f t="shared" si="22"/>
        <v>6.3658168959990498</v>
      </c>
      <c r="S31" s="39">
        <f t="shared" si="23"/>
        <v>609.36179761453559</v>
      </c>
      <c r="T31" s="36">
        <f t="shared" si="24"/>
        <v>606.71856067984686</v>
      </c>
      <c r="U31" s="36">
        <f t="shared" si="25"/>
        <v>10.544573663157824</v>
      </c>
      <c r="V31" s="37">
        <f t="shared" si="26"/>
        <v>5.4147866670365401</v>
      </c>
      <c r="W31" s="40">
        <f t="shared" si="3"/>
        <v>797.04093089442256</v>
      </c>
      <c r="X31" s="32">
        <f t="shared" si="27"/>
        <v>646.15090071492136</v>
      </c>
      <c r="Y31" s="32">
        <f t="shared" si="28"/>
        <v>16.542737016965347</v>
      </c>
      <c r="Z31" s="33">
        <f t="shared" si="29"/>
        <v>3.6757814625826577</v>
      </c>
      <c r="AA31" s="33">
        <f t="shared" si="30"/>
        <v>6.4526684905529565</v>
      </c>
      <c r="AB31" s="39">
        <f t="shared" si="4"/>
        <v>628.79475711332964</v>
      </c>
      <c r="AC31" s="36">
        <f t="shared" si="31"/>
        <v>781.04078878516566</v>
      </c>
      <c r="AD31" s="36">
        <f t="shared" si="32"/>
        <v>21.342013491218964</v>
      </c>
      <c r="AE31" s="37">
        <f t="shared" si="33"/>
        <v>3.4439863359152949</v>
      </c>
      <c r="AF31" s="40">
        <f t="shared" si="5"/>
        <v>493.78082971311647</v>
      </c>
      <c r="AG31" s="32">
        <f t="shared" si="34"/>
        <v>654.39559996834487</v>
      </c>
      <c r="AH31" s="32">
        <f t="shared" si="35"/>
        <v>17.003052396472864</v>
      </c>
      <c r="AI31" s="33">
        <f t="shared" si="36"/>
        <v>3.6219009756053548</v>
      </c>
      <c r="AJ31" s="33">
        <f t="shared" si="37"/>
        <v>6.3880472623100655</v>
      </c>
      <c r="AK31" s="39">
        <f t="shared" si="6"/>
        <v>614.65477873946099</v>
      </c>
      <c r="AL31" s="36">
        <f t="shared" si="38"/>
        <v>616.33346139435537</v>
      </c>
      <c r="AM31" s="36">
        <f t="shared" si="39"/>
        <v>13.979706235055151</v>
      </c>
      <c r="AN31" s="37">
        <f t="shared" si="40"/>
        <v>4.148974792203374</v>
      </c>
      <c r="AO31" s="40">
        <f t="shared" si="7"/>
        <v>686.80252250228807</v>
      </c>
      <c r="AP31" s="32">
        <f t="shared" si="56"/>
        <v>648.2888737391122</v>
      </c>
      <c r="AQ31" s="32">
        <f t="shared" si="41"/>
        <v>16.667275493926773</v>
      </c>
      <c r="AR31" s="33">
        <f t="shared" si="42"/>
        <v>3.6603873774769182</v>
      </c>
      <c r="AS31" s="33">
        <f t="shared" si="43"/>
        <v>6.4342852286809151</v>
      </c>
      <c r="AT31" s="39">
        <f t="shared" si="8"/>
        <v>624.93558277495788</v>
      </c>
      <c r="AU31" s="36">
        <f t="shared" si="44"/>
        <v>686.02151084415868</v>
      </c>
      <c r="AV31" s="36">
        <f t="shared" si="45"/>
        <v>18.427415066026136</v>
      </c>
      <c r="AW31" s="37">
        <f t="shared" si="46"/>
        <v>3.5034539254146071</v>
      </c>
      <c r="AX31" s="40">
        <f t="shared" si="9"/>
        <v>567.00606153638455</v>
      </c>
      <c r="AY31" s="2">
        <f t="shared" si="57"/>
        <v>3.8840982670622228</v>
      </c>
      <c r="AZ31" s="2">
        <f t="shared" si="47"/>
        <v>619.436729060571</v>
      </c>
      <c r="BA31" s="2">
        <f t="shared" si="48"/>
        <v>636.1575861615529</v>
      </c>
      <c r="BB31" s="44">
        <f t="shared" si="60"/>
        <v>619.436729060571</v>
      </c>
      <c r="BC31">
        <f t="shared" si="49"/>
        <v>54</v>
      </c>
      <c r="BD31" s="2">
        <f t="shared" si="50"/>
        <v>46.472717360880715</v>
      </c>
      <c r="BE31" s="2">
        <f t="shared" si="51"/>
        <v>495.54938324845682</v>
      </c>
      <c r="BF31" s="2">
        <f t="shared" si="10"/>
        <v>47.160994925131135</v>
      </c>
      <c r="BG31" s="24">
        <f t="shared" si="11"/>
        <v>1.0148103576321059</v>
      </c>
    </row>
    <row r="32" spans="1:61" x14ac:dyDescent="0.25">
      <c r="A32" s="20">
        <f t="shared" si="12"/>
        <v>60</v>
      </c>
      <c r="B32" s="20">
        <v>1</v>
      </c>
      <c r="C32" s="27">
        <f>BB31</f>
        <v>619.436729060571</v>
      </c>
      <c r="D32" s="2">
        <f>((1.12*10^-5)*(C32^2))+(0.00982*C32)+6.4</f>
        <v>16.780329526038514</v>
      </c>
      <c r="E32" s="2">
        <f>((1.71*10^-6)*(C32^3))-(0.00173*(C32^2))+(0.6*C32)+536</f>
        <v>650.28895166692541</v>
      </c>
      <c r="F32" s="25">
        <f>B32*$E$10*4500*E32/(4*D32)</f>
        <v>3.8004683121948575</v>
      </c>
      <c r="G32">
        <f>SQRT($E$10^2/F32)</f>
        <v>4.4715711459588476E-5</v>
      </c>
      <c r="H32">
        <f>G32/SIN($E$4)</f>
        <v>7.7959463858137153E-5</v>
      </c>
      <c r="I32" s="51">
        <f t="shared" si="59"/>
        <v>4.4694758080449247E-5</v>
      </c>
      <c r="J32" s="28">
        <f t="shared" si="52"/>
        <v>0.35173566280235263</v>
      </c>
      <c r="K32" s="24">
        <f t="shared" si="53"/>
        <v>3.8971309530658753</v>
      </c>
      <c r="L32" s="33">
        <f t="shared" si="54"/>
        <v>6.710039799495517</v>
      </c>
      <c r="M32" s="39">
        <f t="shared" si="55"/>
        <v>651.87920651148386</v>
      </c>
      <c r="N32" s="40">
        <f t="shared" si="18"/>
        <v>316.48873311239402</v>
      </c>
      <c r="O32" s="32">
        <f t="shared" si="19"/>
        <v>665.6636551424815</v>
      </c>
      <c r="P32" s="32">
        <f t="shared" si="20"/>
        <v>17.560854606621639</v>
      </c>
      <c r="Q32" s="33">
        <f t="shared" si="21"/>
        <v>3.8119597574269188</v>
      </c>
      <c r="R32" s="33">
        <f t="shared" si="22"/>
        <v>6.6125390912251589</v>
      </c>
      <c r="S32" s="39">
        <f t="shared" si="23"/>
        <v>627.56947982344127</v>
      </c>
      <c r="T32" s="36">
        <f t="shared" si="24"/>
        <v>606.81652002438875</v>
      </c>
      <c r="U32" s="36">
        <f t="shared" si="25"/>
        <v>10.629768682859098</v>
      </c>
      <c r="V32" s="37">
        <f t="shared" si="26"/>
        <v>5.7408036180740574</v>
      </c>
      <c r="W32" s="40">
        <f t="shared" si="3"/>
        <v>823.28665375433081</v>
      </c>
      <c r="X32" s="32">
        <f t="shared" si="27"/>
        <v>653.84317874921203</v>
      </c>
      <c r="Y32" s="32">
        <f t="shared" si="28"/>
        <v>16.973778954331877</v>
      </c>
      <c r="Z32" s="33">
        <f t="shared" si="29"/>
        <v>3.8737729673863943</v>
      </c>
      <c r="AA32" s="33">
        <f t="shared" si="30"/>
        <v>6.683489557866646</v>
      </c>
      <c r="AB32" s="39">
        <f t="shared" si="4"/>
        <v>645.77032510432741</v>
      </c>
      <c r="AC32" s="36">
        <f t="shared" si="31"/>
        <v>811.5982142938069</v>
      </c>
      <c r="AD32" s="36">
        <f t="shared" si="32"/>
        <v>22.07604517946757</v>
      </c>
      <c r="AE32" s="37">
        <f t="shared" si="33"/>
        <v>3.6970805907880293</v>
      </c>
      <c r="AF32" s="40">
        <f t="shared" si="5"/>
        <v>493.98129159922058</v>
      </c>
      <c r="AG32" s="32">
        <f t="shared" si="34"/>
        <v>662.51955614256713</v>
      </c>
      <c r="AH32" s="32">
        <f t="shared" si="35"/>
        <v>17.412080895720401</v>
      </c>
      <c r="AI32" s="33">
        <f t="shared" si="36"/>
        <v>3.8263715170558563</v>
      </c>
      <c r="AJ32" s="33">
        <f t="shared" si="37"/>
        <v>6.6291709210683969</v>
      </c>
      <c r="AK32" s="39">
        <f t="shared" si="6"/>
        <v>632.13366820718466</v>
      </c>
      <c r="AL32" s="36">
        <f t="shared" si="38"/>
        <v>616.36202189345863</v>
      </c>
      <c r="AM32" s="36">
        <f t="shared" si="39"/>
        <v>13.983892467744731</v>
      </c>
      <c r="AN32" s="37">
        <f t="shared" si="40"/>
        <v>4.4324812225642072</v>
      </c>
      <c r="AO32" s="40">
        <f t="shared" si="7"/>
        <v>712.2126881598615</v>
      </c>
      <c r="AP32" s="32">
        <f t="shared" si="56"/>
        <v>655.92381047206027</v>
      </c>
      <c r="AQ32" s="32">
        <f t="shared" si="41"/>
        <v>17.08299393598255</v>
      </c>
      <c r="AR32" s="33">
        <f>($B32*$I32*4500*AP32)/(2*AQ32)</f>
        <v>3.8612553110281405</v>
      </c>
      <c r="AS32" s="33">
        <f t="shared" si="43"/>
        <v>6.6692024623056909</v>
      </c>
      <c r="AT32" s="39">
        <f t="shared" si="8"/>
        <v>642.34583583984704</v>
      </c>
      <c r="AU32" s="36">
        <f t="shared" si="44"/>
        <v>703.55819888700921</v>
      </c>
      <c r="AV32" s="36">
        <f t="shared" si="45"/>
        <v>19.075094025299876</v>
      </c>
      <c r="AW32" s="37">
        <f t="shared" si="46"/>
        <v>3.7091333740947854</v>
      </c>
      <c r="AX32" s="40">
        <f t="shared" si="9"/>
        <v>570.76629865053656</v>
      </c>
      <c r="AY32" s="27">
        <f>AVERAGE(AW32,AR32,AN32,AI32,AE32,Z32,V32,Q32)</f>
        <v>4.1191072948022986</v>
      </c>
      <c r="AZ32" s="27">
        <f t="shared" si="47"/>
        <v>636.95482724370004</v>
      </c>
      <c r="BA32" s="27">
        <f t="shared" si="48"/>
        <v>650.06173304098741</v>
      </c>
      <c r="BB32" s="49">
        <f t="shared" si="60"/>
        <v>636.95482724370004</v>
      </c>
      <c r="BC32" s="20">
        <f t="shared" si="49"/>
        <v>60</v>
      </c>
      <c r="BD32" s="27">
        <f t="shared" si="50"/>
        <v>44.694758080449247</v>
      </c>
      <c r="BE32" s="27">
        <f t="shared" si="51"/>
        <v>509.56386179496008</v>
      </c>
      <c r="BF32" s="27">
        <f t="shared" si="10"/>
        <v>44.043825596031446</v>
      </c>
      <c r="BG32" s="54">
        <f>BF32/BD32</f>
        <v>0.98543604412745356</v>
      </c>
    </row>
    <row r="33" spans="1:59" x14ac:dyDescent="0.25">
      <c r="A33">
        <f t="shared" si="12"/>
        <v>66</v>
      </c>
      <c r="B33">
        <v>1.1000000000000001</v>
      </c>
      <c r="C33" s="2">
        <f t="shared" si="58"/>
        <v>636.95482724370004</v>
      </c>
      <c r="D33" s="2">
        <f t="shared" si="13"/>
        <v>17.198864665362514</v>
      </c>
      <c r="E33" s="2">
        <f>((1.71*10^-6)*(C33^3))-(0.00173*(C33^2))+(0.6*C33)+536</f>
        <v>658.19005839012857</v>
      </c>
      <c r="F33" s="25">
        <f t="shared" si="15"/>
        <v>4.1283399254536226</v>
      </c>
      <c r="G33">
        <f>SQRT($E$10^2/F33)</f>
        <v>4.290332765809947E-5</v>
      </c>
      <c r="H33">
        <f t="shared" si="17"/>
        <v>7.4799669126995551E-5</v>
      </c>
      <c r="I33" s="51">
        <f t="shared" si="59"/>
        <v>4.3114860714878447E-5</v>
      </c>
      <c r="J33" s="28">
        <f t="shared" si="52"/>
        <v>0.34028364056627697</v>
      </c>
      <c r="K33" s="24">
        <f t="shared" si="53"/>
        <v>4.0836990567571672</v>
      </c>
      <c r="L33" s="33">
        <f t="shared" si="54"/>
        <v>6.9170325656528355</v>
      </c>
      <c r="M33" s="39">
        <f t="shared" si="55"/>
        <v>665.84199006309507</v>
      </c>
      <c r="N33" s="40">
        <f t="shared" si="18"/>
        <v>321.01250178339768</v>
      </c>
      <c r="O33" s="32">
        <f t="shared" si="19"/>
        <v>673.30611158730289</v>
      </c>
      <c r="P33" s="32">
        <f t="shared" si="20"/>
        <v>17.90403856660884</v>
      </c>
      <c r="Q33" s="33">
        <f t="shared" si="21"/>
        <v>4.0129499442888497</v>
      </c>
      <c r="R33" s="33">
        <f t="shared" si="22"/>
        <v>6.8395934885868357</v>
      </c>
      <c r="S33" s="39">
        <f t="shared" si="23"/>
        <v>643.60648456383058</v>
      </c>
      <c r="T33" s="36">
        <f t="shared" si="24"/>
        <v>606.89952958310846</v>
      </c>
      <c r="U33" s="36">
        <f t="shared" si="25"/>
        <v>10.706491862086807</v>
      </c>
      <c r="V33" s="37">
        <f t="shared" si="26"/>
        <v>6.0488358681647716</v>
      </c>
      <c r="W33" s="40">
        <f t="shared" si="3"/>
        <v>847.4137266688582</v>
      </c>
      <c r="X33" s="32">
        <f t="shared" si="27"/>
        <v>661.43433206504187</v>
      </c>
      <c r="Y33" s="32">
        <f t="shared" si="28"/>
        <v>17.359583916510076</v>
      </c>
      <c r="Z33" s="33">
        <f t="shared" si="29"/>
        <v>4.0658337123480575</v>
      </c>
      <c r="AA33" s="33">
        <f t="shared" si="30"/>
        <v>6.897598734059323</v>
      </c>
      <c r="AB33" s="39">
        <f t="shared" si="4"/>
        <v>660.71454863660449</v>
      </c>
      <c r="AC33" s="36">
        <f t="shared" si="31"/>
        <v>842.71495306941142</v>
      </c>
      <c r="AD33" s="36">
        <f t="shared" si="32"/>
        <v>22.764435066332375</v>
      </c>
      <c r="AE33" s="37">
        <f t="shared" si="33"/>
        <v>3.9502630244152273</v>
      </c>
      <c r="AF33" s="40">
        <f t="shared" si="5"/>
        <v>493.18368583846956</v>
      </c>
      <c r="AG33" s="32">
        <f t="shared" si="34"/>
        <v>670.42474234795395</v>
      </c>
      <c r="AH33" s="32">
        <f t="shared" si="35"/>
        <v>17.777506473148264</v>
      </c>
      <c r="AI33" s="33">
        <f t="shared" si="36"/>
        <v>4.0242168854644751</v>
      </c>
      <c r="AJ33" s="33">
        <f t="shared" si="37"/>
        <v>6.8520116861061622</v>
      </c>
      <c r="AK33" s="39">
        <f t="shared" si="6"/>
        <v>647.54616954998096</v>
      </c>
      <c r="AL33" s="36">
        <f t="shared" si="38"/>
        <v>616.24876641830804</v>
      </c>
      <c r="AM33" s="36">
        <f t="shared" si="39"/>
        <v>13.967241452278616</v>
      </c>
      <c r="AN33" s="37">
        <f t="shared" si="40"/>
        <v>4.7081209669092186</v>
      </c>
      <c r="AO33" s="40">
        <f t="shared" si="7"/>
        <v>736.28192431492425</v>
      </c>
      <c r="AP33" s="32">
        <f t="shared" si="56"/>
        <v>663.42125883332164</v>
      </c>
      <c r="AQ33" s="32">
        <f t="shared" si="41"/>
        <v>17.455243052007965</v>
      </c>
      <c r="AR33" s="33">
        <f t="shared" si="42"/>
        <v>4.0556986135652275</v>
      </c>
      <c r="AS33" s="33">
        <f t="shared" si="43"/>
        <v>6.8865375911801578</v>
      </c>
      <c r="AT33" s="39">
        <f t="shared" si="8"/>
        <v>657.67936510584252</v>
      </c>
      <c r="AU33" s="36">
        <f t="shared" si="44"/>
        <v>722.45765741127025</v>
      </c>
      <c r="AV33" s="36">
        <f t="shared" si="45"/>
        <v>19.7019325039889</v>
      </c>
      <c r="AW33" s="37">
        <f t="shared" si="46"/>
        <v>3.9129631893627792</v>
      </c>
      <c r="AX33" s="40">
        <f t="shared" si="9"/>
        <v>572.55455999341928</v>
      </c>
      <c r="AY33" s="2">
        <f t="shared" si="57"/>
        <v>4.3473602755648262</v>
      </c>
      <c r="AZ33" s="2">
        <f t="shared" si="47"/>
        <v>652.38664196406467</v>
      </c>
      <c r="BA33" s="2">
        <f t="shared" si="48"/>
        <v>662.35847420391781</v>
      </c>
      <c r="BB33" s="44">
        <f t="shared" si="60"/>
        <v>652.38664196406467</v>
      </c>
      <c r="BC33">
        <f t="shared" si="49"/>
        <v>66</v>
      </c>
      <c r="BD33" s="2">
        <f t="shared" si="50"/>
        <v>43.114860714878446</v>
      </c>
      <c r="BE33" s="2">
        <f t="shared" si="51"/>
        <v>521.9093135712518</v>
      </c>
      <c r="BF33" s="2">
        <f t="shared" si="10"/>
        <v>41.356537087072098</v>
      </c>
      <c r="BG33" s="24">
        <f t="shared" ref="BG33:BG72" si="61">BF33/BD33</f>
        <v>0.95921768970948873</v>
      </c>
    </row>
    <row r="34" spans="1:59" x14ac:dyDescent="0.25">
      <c r="A34">
        <f t="shared" si="12"/>
        <v>72</v>
      </c>
      <c r="B34">
        <v>1.2</v>
      </c>
      <c r="C34" s="2">
        <f t="shared" si="58"/>
        <v>652.38664196406467</v>
      </c>
      <c r="D34" s="2">
        <f t="shared" si="13"/>
        <v>17.573250126954381</v>
      </c>
      <c r="E34" s="2">
        <f t="shared" si="14"/>
        <v>665.9302074347919</v>
      </c>
      <c r="F34" s="25">
        <f t="shared" si="15"/>
        <v>4.459530067367055</v>
      </c>
      <c r="G34">
        <f t="shared" si="16"/>
        <v>4.127947400807183E-5</v>
      </c>
      <c r="H34">
        <f t="shared" si="17"/>
        <v>7.1968566684297238E-5</v>
      </c>
      <c r="I34" s="51">
        <f t="shared" si="59"/>
        <v>4.169930949352929E-5</v>
      </c>
      <c r="J34" s="28">
        <f t="shared" si="52"/>
        <v>0.32994048755290134</v>
      </c>
      <c r="K34" s="24">
        <f t="shared" si="53"/>
        <v>4.2664754655410251</v>
      </c>
      <c r="L34" s="33">
        <f t="shared" si="54"/>
        <v>7.1112142601329902</v>
      </c>
      <c r="M34" s="39">
        <f t="shared" si="55"/>
        <v>678.28215508700646</v>
      </c>
      <c r="N34" s="40">
        <f t="shared" si="18"/>
        <v>325.12096525546769</v>
      </c>
      <c r="O34" s="32">
        <f t="shared" si="19"/>
        <v>680.6680183854935</v>
      </c>
      <c r="P34" s="32">
        <f t="shared" si="20"/>
        <v>18.213477600340511</v>
      </c>
      <c r="Q34" s="33">
        <f t="shared" si="21"/>
        <v>4.2076063043159859</v>
      </c>
      <c r="R34" s="33">
        <f t="shared" si="22"/>
        <v>7.0495894254931724</v>
      </c>
      <c r="S34" s="39">
        <f t="shared" si="23"/>
        <v>657.84536831992716</v>
      </c>
      <c r="T34" s="36">
        <f t="shared" si="24"/>
        <v>606.9719423380468</v>
      </c>
      <c r="U34" s="36">
        <f t="shared" si="25"/>
        <v>10.776568669753541</v>
      </c>
      <c r="V34" s="37">
        <f t="shared" si="26"/>
        <v>6.3413356758815622</v>
      </c>
      <c r="W34" s="40">
        <f t="shared" si="3"/>
        <v>869.74274753860277</v>
      </c>
      <c r="X34" s="32">
        <f t="shared" si="27"/>
        <v>668.85056745820702</v>
      </c>
      <c r="Y34" s="32">
        <f t="shared" si="28"/>
        <v>17.70695943744547</v>
      </c>
      <c r="Z34" s="33">
        <f t="shared" si="29"/>
        <v>4.2528271820417425</v>
      </c>
      <c r="AA34" s="33">
        <f t="shared" si="30"/>
        <v>7.0970042033502816</v>
      </c>
      <c r="AB34" s="39">
        <f t="shared" si="4"/>
        <v>673.97114817797421</v>
      </c>
      <c r="AC34" s="36">
        <f t="shared" si="31"/>
        <v>874.22445591610278</v>
      </c>
      <c r="AD34" s="36">
        <f t="shared" si="32"/>
        <v>23.413141186064252</v>
      </c>
      <c r="AE34" s="37">
        <f t="shared" si="33"/>
        <v>4.203934057107257</v>
      </c>
      <c r="AF34" s="40">
        <f t="shared" si="5"/>
        <v>491.67039244256216</v>
      </c>
      <c r="AG34" s="32">
        <f t="shared" si="34"/>
        <v>678.05651766664687</v>
      </c>
      <c r="AH34" s="32">
        <f t="shared" si="35"/>
        <v>18.105852291162684</v>
      </c>
      <c r="AI34" s="33">
        <f t="shared" si="36"/>
        <v>4.2163781052623657</v>
      </c>
      <c r="AJ34" s="33">
        <f t="shared" si="37"/>
        <v>7.0588268194338486</v>
      </c>
      <c r="AK34" s="39">
        <f t="shared" si="6"/>
        <v>661.24435113566483</v>
      </c>
      <c r="AL34" s="36">
        <f t="shared" si="38"/>
        <v>616.03668086319249</v>
      </c>
      <c r="AM34" s="36">
        <f t="shared" si="39"/>
        <v>13.93568873159774</v>
      </c>
      <c r="AN34" s="37">
        <f t="shared" si="40"/>
        <v>4.9770357759480568</v>
      </c>
      <c r="AO34" s="40">
        <f t="shared" si="7"/>
        <v>759.18543847866704</v>
      </c>
      <c r="AP34" s="32">
        <f t="shared" si="56"/>
        <v>670.71839946921409</v>
      </c>
      <c r="AQ34" s="32">
        <f t="shared" si="41"/>
        <v>17.790553357531085</v>
      </c>
      <c r="AR34" s="33">
        <f t="shared" si="42"/>
        <v>4.2446647168906511</v>
      </c>
      <c r="AS34" s="33">
        <f t="shared" si="43"/>
        <v>7.0884835588827055</v>
      </c>
      <c r="AT34" s="39">
        <f t="shared" si="8"/>
        <v>671.28734325004871</v>
      </c>
      <c r="AU34" s="36">
        <f t="shared" si="44"/>
        <v>742.64201469188197</v>
      </c>
      <c r="AV34" s="36">
        <f t="shared" si="45"/>
        <v>20.310461341838625</v>
      </c>
      <c r="AW34" s="37">
        <f t="shared" si="46"/>
        <v>4.1167297221509171</v>
      </c>
      <c r="AX34" s="40">
        <f t="shared" si="9"/>
        <v>572.75082361191278</v>
      </c>
      <c r="AY34" s="2">
        <f t="shared" si="57"/>
        <v>4.5700639424498171</v>
      </c>
      <c r="AZ34" s="2">
        <f t="shared" si="47"/>
        <v>666.08705272090378</v>
      </c>
      <c r="BA34" s="2">
        <f t="shared" si="48"/>
        <v>673.33735051793622</v>
      </c>
      <c r="BB34" s="44">
        <f t="shared" si="60"/>
        <v>666.08705272090378</v>
      </c>
      <c r="BC34">
        <f t="shared" si="49"/>
        <v>72</v>
      </c>
      <c r="BD34" s="2">
        <f t="shared" si="50"/>
        <v>41.699309493529292</v>
      </c>
      <c r="BE34" s="2">
        <f t="shared" si="51"/>
        <v>532.869642176723</v>
      </c>
      <c r="BF34" s="2">
        <f t="shared" si="10"/>
        <v>39.011955561997688</v>
      </c>
      <c r="BG34" s="24">
        <f t="shared" si="61"/>
        <v>0.93555399443847831</v>
      </c>
    </row>
    <row r="35" spans="1:59" x14ac:dyDescent="0.25">
      <c r="A35">
        <f t="shared" si="12"/>
        <v>78</v>
      </c>
      <c r="B35">
        <v>1.3</v>
      </c>
      <c r="C35" s="2">
        <f t="shared" si="58"/>
        <v>666.08705272090378</v>
      </c>
      <c r="D35" s="2">
        <f t="shared" si="13"/>
        <v>17.910100829906384</v>
      </c>
      <c r="E35" s="2">
        <f t="shared" si="14"/>
        <v>673.44603320866247</v>
      </c>
      <c r="F35" s="25">
        <f t="shared" si="15"/>
        <v>4.7937937631302203</v>
      </c>
      <c r="G35">
        <f t="shared" si="16"/>
        <v>3.9814294997701541E-5</v>
      </c>
      <c r="H35">
        <f t="shared" si="17"/>
        <v>6.9414105033655869E-5</v>
      </c>
      <c r="I35" s="51">
        <f t="shared" si="59"/>
        <v>4.0422078668208605E-5</v>
      </c>
      <c r="J35" s="28">
        <f t="shared" si="52"/>
        <v>0.32053799199362087</v>
      </c>
      <c r="K35" s="24">
        <f t="shared" si="53"/>
        <v>4.4457934500578924</v>
      </c>
      <c r="L35" s="33">
        <f t="shared" si="54"/>
        <v>7.2936336977677829</v>
      </c>
      <c r="M35" s="39">
        <f t="shared" si="55"/>
        <v>689.43069077826942</v>
      </c>
      <c r="N35" s="40">
        <f t="shared" si="18"/>
        <v>328.9008737515789</v>
      </c>
      <c r="O35" s="32">
        <f t="shared" si="19"/>
        <v>687.72508267667877</v>
      </c>
      <c r="P35" s="32">
        <f t="shared" si="20"/>
        <v>18.493733770177027</v>
      </c>
      <c r="Q35" s="33">
        <f t="shared" si="21"/>
        <v>4.3967804115760396</v>
      </c>
      <c r="R35" s="33">
        <f t="shared" si="22"/>
        <v>7.2445579541749137</v>
      </c>
      <c r="S35" s="39">
        <f t="shared" si="23"/>
        <v>670.5736597005897</v>
      </c>
      <c r="T35" s="36">
        <f t="shared" si="24"/>
        <v>607.03669493852692</v>
      </c>
      <c r="U35" s="36">
        <f t="shared" si="25"/>
        <v>10.841375369491487</v>
      </c>
      <c r="V35" s="37">
        <f t="shared" si="26"/>
        <v>6.620260464005395</v>
      </c>
      <c r="W35" s="40">
        <f t="shared" si="3"/>
        <v>890.52430012323941</v>
      </c>
      <c r="X35" s="32">
        <f t="shared" si="27"/>
        <v>676.04368626416203</v>
      </c>
      <c r="Y35" s="32">
        <f t="shared" si="28"/>
        <v>18.021326508803305</v>
      </c>
      <c r="Z35" s="33">
        <f t="shared" si="29"/>
        <v>4.4353972133351149</v>
      </c>
      <c r="AA35" s="33">
        <f t="shared" si="30"/>
        <v>7.2832731499022918</v>
      </c>
      <c r="AB35" s="39">
        <f t="shared" si="4"/>
        <v>685.80603132070632</v>
      </c>
      <c r="AC35" s="36">
        <f t="shared" si="31"/>
        <v>905.99529942290303</v>
      </c>
      <c r="AD35" s="36">
        <f t="shared" si="32"/>
        <v>24.026924153242049</v>
      </c>
      <c r="AE35" s="37">
        <f t="shared" si="33"/>
        <v>4.4583307093626789</v>
      </c>
      <c r="AF35" s="40">
        <f t="shared" si="5"/>
        <v>489.64731451117848</v>
      </c>
      <c r="AG35" s="32">
        <f t="shared" si="34"/>
        <v>685.38207521620348</v>
      </c>
      <c r="AH35" s="32">
        <f t="shared" si="35"/>
        <v>18.402310248642941</v>
      </c>
      <c r="AI35" s="33">
        <f t="shared" si="36"/>
        <v>4.40357002894903</v>
      </c>
      <c r="AJ35" s="33">
        <f t="shared" si="37"/>
        <v>7.2513912882285707</v>
      </c>
      <c r="AK35" s="39">
        <f t="shared" si="6"/>
        <v>673.50071602009371</v>
      </c>
      <c r="AL35" s="36">
        <f t="shared" si="38"/>
        <v>615.75881179007956</v>
      </c>
      <c r="AM35" s="36">
        <f t="shared" si="39"/>
        <v>13.893586945709473</v>
      </c>
      <c r="AN35" s="37">
        <f t="shared" si="40"/>
        <v>5.240114366588033</v>
      </c>
      <c r="AO35" s="40">
        <f t="shared" si="7"/>
        <v>781.05735883170587</v>
      </c>
      <c r="AP35" s="32">
        <f t="shared" si="56"/>
        <v>677.77544201951605</v>
      </c>
      <c r="AQ35" s="32">
        <f t="shared" si="41"/>
        <v>18.094133033488603</v>
      </c>
      <c r="AR35" s="33">
        <f t="shared" si="42"/>
        <v>4.4288662321654053</v>
      </c>
      <c r="AS35" s="33">
        <f t="shared" si="43"/>
        <v>7.2767511173524957</v>
      </c>
      <c r="AT35" s="39">
        <f t="shared" si="8"/>
        <v>683.44119981566121</v>
      </c>
      <c r="AU35" s="36">
        <f t="shared" si="44"/>
        <v>764.03539093892095</v>
      </c>
      <c r="AV35" s="36">
        <f t="shared" si="45"/>
        <v>20.902549958921149</v>
      </c>
      <c r="AW35" s="37">
        <f t="shared" si="46"/>
        <v>4.3217408311512582</v>
      </c>
      <c r="AX35" s="40">
        <f t="shared" si="9"/>
        <v>571.6616583198952</v>
      </c>
      <c r="AY35" s="2">
        <f t="shared" si="57"/>
        <v>4.7881325321416197</v>
      </c>
      <c r="AZ35" s="2">
        <f t="shared" si="47"/>
        <v>678.33040171426273</v>
      </c>
      <c r="BA35" s="2">
        <f t="shared" si="48"/>
        <v>683.22265794650468</v>
      </c>
      <c r="BB35" s="44">
        <f t="shared" si="60"/>
        <v>678.33040171426273</v>
      </c>
      <c r="BC35">
        <f t="shared" si="49"/>
        <v>78</v>
      </c>
      <c r="BD35" s="2">
        <f t="shared" si="50"/>
        <v>40.422078668208606</v>
      </c>
      <c r="BE35" s="2">
        <f t="shared" si="51"/>
        <v>542.66432137141021</v>
      </c>
      <c r="BF35" s="2">
        <f t="shared" si="10"/>
        <v>36.945841025895724</v>
      </c>
      <c r="BG35" s="24">
        <f t="shared" si="61"/>
        <v>0.91400151212295544</v>
      </c>
    </row>
    <row r="36" spans="1:59" x14ac:dyDescent="0.25">
      <c r="A36">
        <f t="shared" si="12"/>
        <v>84</v>
      </c>
      <c r="B36">
        <v>1.4</v>
      </c>
      <c r="C36" s="2">
        <f t="shared" si="58"/>
        <v>678.33040171426273</v>
      </c>
      <c r="D36" s="2">
        <f t="shared" si="13"/>
        <v>18.214684444400191</v>
      </c>
      <c r="E36" s="2">
        <f t="shared" si="14"/>
        <v>680.69761143070104</v>
      </c>
      <c r="F36" s="25">
        <f t="shared" si="15"/>
        <v>5.1308797444910166</v>
      </c>
      <c r="G36">
        <f t="shared" si="16"/>
        <v>3.8484228535342498E-5</v>
      </c>
      <c r="H36">
        <f t="shared" si="17"/>
        <v>6.7095204921892911E-5</v>
      </c>
      <c r="I36" s="51">
        <f t="shared" si="59"/>
        <v>3.9262628612327127E-5</v>
      </c>
      <c r="J36" s="28">
        <f t="shared" si="52"/>
        <v>0.31194247673195985</v>
      </c>
      <c r="K36" s="24">
        <f t="shared" si="53"/>
        <v>4.6219208149841133</v>
      </c>
      <c r="L36" s="33">
        <f t="shared" si="54"/>
        <v>7.4651866626152827</v>
      </c>
      <c r="M36" s="39">
        <f t="shared" si="55"/>
        <v>699.47175667574106</v>
      </c>
      <c r="N36" s="40">
        <f t="shared" si="18"/>
        <v>332.41796319992039</v>
      </c>
      <c r="O36" s="32">
        <f t="shared" si="19"/>
        <v>694.46513313587229</v>
      </c>
      <c r="P36" s="32">
        <f t="shared" si="20"/>
        <v>18.748532920490703</v>
      </c>
      <c r="Q36" s="33">
        <f t="shared" si="21"/>
        <v>4.5811349173182574</v>
      </c>
      <c r="R36" s="33">
        <f t="shared" si="22"/>
        <v>7.4261228532587573</v>
      </c>
      <c r="S36" s="39">
        <f t="shared" si="23"/>
        <v>682.01734849907211</v>
      </c>
      <c r="T36" s="36">
        <f t="shared" si="24"/>
        <v>607.09583687261681</v>
      </c>
      <c r="U36" s="36">
        <f t="shared" si="25"/>
        <v>10.901963463912637</v>
      </c>
      <c r="V36" s="37">
        <f t="shared" si="26"/>
        <v>6.8871962496005539</v>
      </c>
      <c r="W36" s="40">
        <f t="shared" si="3"/>
        <v>909.95817406968604</v>
      </c>
      <c r="X36" s="32">
        <f t="shared" si="27"/>
        <v>682.9832583243749</v>
      </c>
      <c r="Y36" s="32">
        <f t="shared" si="28"/>
        <v>18.307064195182384</v>
      </c>
      <c r="Z36" s="33">
        <f t="shared" si="29"/>
        <v>4.6140391961543319</v>
      </c>
      <c r="AA36" s="33">
        <f t="shared" si="30"/>
        <v>7.4576687355807687</v>
      </c>
      <c r="AB36" s="39">
        <f t="shared" si="4"/>
        <v>696.42887392354169</v>
      </c>
      <c r="AC36" s="36">
        <f t="shared" si="31"/>
        <v>937.92232975481886</v>
      </c>
      <c r="AD36" s="36">
        <f t="shared" si="32"/>
        <v>24.609656709194176</v>
      </c>
      <c r="AE36" s="37">
        <f t="shared" si="33"/>
        <v>4.7135839433645774</v>
      </c>
      <c r="AF36" s="40">
        <f t="shared" si="5"/>
        <v>487.26610643638281</v>
      </c>
      <c r="AG36" s="32">
        <f t="shared" si="34"/>
        <v>692.38350743952094</v>
      </c>
      <c r="AH36" s="32">
        <f t="shared" si="35"/>
        <v>18.671079117994598</v>
      </c>
      <c r="AI36" s="33">
        <f t="shared" si="36"/>
        <v>4.5863502835061238</v>
      </c>
      <c r="AJ36" s="33">
        <f t="shared" si="37"/>
        <v>7.4311401501893508</v>
      </c>
      <c r="AK36" s="39">
        <f t="shared" si="6"/>
        <v>684.52998411990245</v>
      </c>
      <c r="AL36" s="36">
        <f t="shared" si="38"/>
        <v>615.43994733539034</v>
      </c>
      <c r="AM36" s="36">
        <f t="shared" si="39"/>
        <v>13.84414966020001</v>
      </c>
      <c r="AN36" s="37">
        <f t="shared" si="40"/>
        <v>5.4980580705432844</v>
      </c>
      <c r="AO36" s="40">
        <f t="shared" si="7"/>
        <v>802.00381685443051</v>
      </c>
      <c r="AP36" s="32">
        <f t="shared" si="56"/>
        <v>684.56843618221387</v>
      </c>
      <c r="AQ36" s="32">
        <f t="shared" si="41"/>
        <v>18.370194994640414</v>
      </c>
      <c r="AR36" s="33">
        <f t="shared" si="42"/>
        <v>4.608854847418038</v>
      </c>
      <c r="AS36" s="33">
        <f t="shared" si="43"/>
        <v>7.452715551547815</v>
      </c>
      <c r="AT36" s="39">
        <f t="shared" si="8"/>
        <v>694.35475383819823</v>
      </c>
      <c r="AU36" s="36">
        <f t="shared" si="44"/>
        <v>786.56420259396737</v>
      </c>
      <c r="AV36" s="36">
        <f t="shared" si="45"/>
        <v>21.479630850700147</v>
      </c>
      <c r="AW36" s="37">
        <f t="shared" si="46"/>
        <v>4.528947536375064</v>
      </c>
      <c r="AX36" s="40">
        <f t="shared" si="9"/>
        <v>569.53697437698679</v>
      </c>
      <c r="AY36" s="2">
        <f t="shared" si="57"/>
        <v>5.0022706305350289</v>
      </c>
      <c r="AZ36" s="2">
        <f t="shared" si="47"/>
        <v>689.33274009517868</v>
      </c>
      <c r="BA36" s="2">
        <f t="shared" si="48"/>
        <v>692.19126793437158</v>
      </c>
      <c r="BB36" s="44">
        <f t="shared" si="60"/>
        <v>692.19126793437158</v>
      </c>
      <c r="BC36">
        <f t="shared" si="49"/>
        <v>84</v>
      </c>
      <c r="BD36" s="2">
        <f t="shared" si="50"/>
        <v>39.262628612327127</v>
      </c>
      <c r="BE36" s="2">
        <f t="shared" si="51"/>
        <v>553.75301434749724</v>
      </c>
      <c r="BF36" s="2">
        <f t="shared" si="10"/>
        <v>35.10959143483646</v>
      </c>
      <c r="BG36" s="24">
        <f t="shared" si="61"/>
        <v>0.89422416877644417</v>
      </c>
    </row>
    <row r="37" spans="1:59" x14ac:dyDescent="0.25">
      <c r="A37" s="20">
        <f t="shared" si="12"/>
        <v>90</v>
      </c>
      <c r="B37" s="20">
        <v>1.5</v>
      </c>
      <c r="C37" s="27">
        <f>BB36</f>
        <v>692.19126793437158</v>
      </c>
      <c r="D37" s="2">
        <f t="shared" si="13"/>
        <v>18.56356026684697</v>
      </c>
      <c r="E37" s="2">
        <f t="shared" si="14"/>
        <v>689.54136270561048</v>
      </c>
      <c r="F37" s="25">
        <f t="shared" si="15"/>
        <v>5.4641364374207662</v>
      </c>
      <c r="G37">
        <f t="shared" si="16"/>
        <v>3.7292194057399444E-5</v>
      </c>
      <c r="H37">
        <f t="shared" si="17"/>
        <v>6.5016956231053218E-5</v>
      </c>
      <c r="I37" s="51">
        <f t="shared" si="59"/>
        <v>3.822350426690728E-5</v>
      </c>
      <c r="J37" s="28">
        <f t="shared" si="52"/>
        <v>0.30418839149627458</v>
      </c>
      <c r="K37" s="24">
        <f t="shared" si="53"/>
        <v>4.7918512444496102</v>
      </c>
      <c r="L37" s="33">
        <f t="shared" si="54"/>
        <v>7.6237081022654527</v>
      </c>
      <c r="M37" s="39">
        <f t="shared" si="55"/>
        <v>706.32839837754989</v>
      </c>
      <c r="N37" s="40">
        <f t="shared" si="18"/>
        <v>334.68464973452728</v>
      </c>
      <c r="O37" s="32">
        <f t="shared" si="19"/>
        <v>699.2823170394422</v>
      </c>
      <c r="P37" s="32">
        <f t="shared" si="20"/>
        <v>18.923822703239004</v>
      </c>
      <c r="Q37" s="33">
        <f t="shared" si="21"/>
        <v>4.7670307441568385</v>
      </c>
      <c r="R37" s="33">
        <f t="shared" si="22"/>
        <v>7.6009763913129351</v>
      </c>
      <c r="S37" s="39">
        <f t="shared" si="23"/>
        <v>694.41256131210946</v>
      </c>
      <c r="T37" s="36">
        <f t="shared" si="24"/>
        <v>607.13360074957154</v>
      </c>
      <c r="U37" s="36">
        <f t="shared" si="25"/>
        <v>10.941157985793799</v>
      </c>
      <c r="V37" s="37">
        <f t="shared" si="26"/>
        <v>7.1585531993286908</v>
      </c>
      <c r="W37" s="40">
        <f t="shared" si="3"/>
        <v>929.18632207768439</v>
      </c>
      <c r="X37" s="32">
        <f t="shared" si="27"/>
        <v>691.02296980822052</v>
      </c>
      <c r="Y37" s="32">
        <f t="shared" si="28"/>
        <v>18.61986997153501</v>
      </c>
      <c r="Z37" s="33">
        <f t="shared" si="29"/>
        <v>4.7876248990669303</v>
      </c>
      <c r="AA37" s="33">
        <f t="shared" si="30"/>
        <v>7.6198475591018653</v>
      </c>
      <c r="AB37" s="39">
        <f t="shared" si="4"/>
        <v>704.45706693337763</v>
      </c>
      <c r="AC37" s="36">
        <f t="shared" si="31"/>
        <v>971.69529075825187</v>
      </c>
      <c r="AD37" s="36">
        <f t="shared" si="32"/>
        <v>25.194546559528909</v>
      </c>
      <c r="AE37" s="37">
        <f t="shared" si="33"/>
        <v>4.9753980148353589</v>
      </c>
      <c r="AF37" s="40">
        <f t="shared" si="5"/>
        <v>484.01438030606118</v>
      </c>
      <c r="AG37" s="32">
        <f t="shared" si="34"/>
        <v>697.9500741983411</v>
      </c>
      <c r="AH37" s="32">
        <f t="shared" si="35"/>
        <v>18.875877699792397</v>
      </c>
      <c r="AI37" s="33">
        <f t="shared" si="36"/>
        <v>4.7700340595721871</v>
      </c>
      <c r="AJ37" s="33">
        <f t="shared" si="37"/>
        <v>7.603734592938471</v>
      </c>
      <c r="AK37" s="39">
        <f t="shared" si="6"/>
        <v>695.99051747021053</v>
      </c>
      <c r="AL37" s="36">
        <f t="shared" si="38"/>
        <v>615.01858363596853</v>
      </c>
      <c r="AM37" s="36">
        <f t="shared" si="39"/>
        <v>13.776844322447799</v>
      </c>
      <c r="AN37" s="37">
        <f t="shared" si="40"/>
        <v>5.7589427997072828</v>
      </c>
      <c r="AO37" s="40">
        <f t="shared" si="7"/>
        <v>822.73048994809676</v>
      </c>
      <c r="AP37" s="32">
        <f t="shared" si="56"/>
        <v>692.0864480572136</v>
      </c>
      <c r="AQ37" s="32">
        <f t="shared" si="41"/>
        <v>18.659938246132125</v>
      </c>
      <c r="AR37" s="33">
        <f t="shared" si="42"/>
        <v>4.7846967771879569</v>
      </c>
      <c r="AS37" s="33">
        <f t="shared" si="43"/>
        <v>7.6171704381002616</v>
      </c>
      <c r="AT37" s="39">
        <f t="shared" si="8"/>
        <v>703.12745938628791</v>
      </c>
      <c r="AU37" s="36">
        <f t="shared" si="44"/>
        <v>810.91571196999917</v>
      </c>
      <c r="AV37" s="36">
        <f t="shared" si="45"/>
        <v>22.060330553100947</v>
      </c>
      <c r="AW37" s="37">
        <f t="shared" si="46"/>
        <v>4.7420701763363935</v>
      </c>
      <c r="AX37" s="40">
        <f t="shared" si="9"/>
        <v>566.21676186326863</v>
      </c>
      <c r="AY37" s="2">
        <f t="shared" si="57"/>
        <v>5.2180438337739554</v>
      </c>
      <c r="AZ37" s="2">
        <f t="shared" si="47"/>
        <v>699.49690127549638</v>
      </c>
      <c r="BA37" s="2">
        <f t="shared" si="48"/>
        <v>700.53698854877769</v>
      </c>
      <c r="BB37" s="44">
        <f t="shared" si="60"/>
        <v>700.53698854877769</v>
      </c>
      <c r="BC37">
        <f t="shared" si="49"/>
        <v>90</v>
      </c>
      <c r="BD37" s="2">
        <f t="shared" si="50"/>
        <v>38.223504266907277</v>
      </c>
      <c r="BE37" s="2">
        <f t="shared" si="51"/>
        <v>560.42959083902213</v>
      </c>
      <c r="BF37" s="2">
        <f t="shared" si="10"/>
        <v>33.466217872492017</v>
      </c>
      <c r="BG37" s="24">
        <f t="shared" si="61"/>
        <v>0.87554028638515047</v>
      </c>
    </row>
    <row r="38" spans="1:59" x14ac:dyDescent="0.25">
      <c r="A38">
        <f t="shared" si="12"/>
        <v>96</v>
      </c>
      <c r="B38">
        <v>1.6</v>
      </c>
      <c r="C38" s="2">
        <f t="shared" si="58"/>
        <v>700.53698854877769</v>
      </c>
      <c r="D38" s="2">
        <f t="shared" si="13"/>
        <v>18.775696437588891</v>
      </c>
      <c r="E38" s="2">
        <f t="shared" si="14"/>
        <v>695.2019718757947</v>
      </c>
      <c r="F38" s="25">
        <f t="shared" si="15"/>
        <v>5.8098664344339657</v>
      </c>
      <c r="G38">
        <f t="shared" si="16"/>
        <v>3.6165596188670335E-5</v>
      </c>
      <c r="H38">
        <f t="shared" si="17"/>
        <v>6.3052792786863899E-5</v>
      </c>
      <c r="I38" s="51">
        <f t="shared" si="59"/>
        <v>3.7241422544812621E-5</v>
      </c>
      <c r="J38" s="28">
        <f t="shared" si="52"/>
        <v>0.29681427976162111</v>
      </c>
      <c r="K38" s="24">
        <f t="shared" si="53"/>
        <v>4.9641363615366032</v>
      </c>
      <c r="L38" s="33">
        <f t="shared" si="54"/>
        <v>7.7775734673721866</v>
      </c>
      <c r="M38" s="39">
        <f t="shared" si="55"/>
        <v>715.78113924937259</v>
      </c>
      <c r="N38" s="40">
        <f t="shared" si="18"/>
        <v>338.37767488378472</v>
      </c>
      <c r="O38" s="32">
        <f t="shared" si="19"/>
        <v>706.21600621358311</v>
      </c>
      <c r="P38" s="32">
        <f t="shared" si="20"/>
        <v>19.167208347646294</v>
      </c>
      <c r="Q38" s="33">
        <f t="shared" si="21"/>
        <v>4.9397782705660953</v>
      </c>
      <c r="R38" s="33">
        <f t="shared" si="22"/>
        <v>7.7562323667468522</v>
      </c>
      <c r="S38" s="39">
        <f t="shared" si="23"/>
        <v>702.68450781888964</v>
      </c>
      <c r="T38" s="36">
        <f t="shared" si="24"/>
        <v>607.19489405003696</v>
      </c>
      <c r="U38" s="36">
        <f t="shared" si="25"/>
        <v>11.005262616988038</v>
      </c>
      <c r="V38" s="37">
        <f t="shared" si="26"/>
        <v>7.3970143786729636</v>
      </c>
      <c r="W38" s="40">
        <f t="shared" si="3"/>
        <v>945.84715532494158</v>
      </c>
      <c r="X38" s="32">
        <f t="shared" si="27"/>
        <v>696.7003185897313</v>
      </c>
      <c r="Y38" s="32">
        <f t="shared" si="28"/>
        <v>18.830535663102658</v>
      </c>
      <c r="Z38" s="33">
        <f t="shared" si="29"/>
        <v>4.9603474429654364</v>
      </c>
      <c r="AA38" s="33">
        <f t="shared" si="30"/>
        <v>7.7742627023183362</v>
      </c>
      <c r="AB38" s="39">
        <f t="shared" si="4"/>
        <v>713.93771756526371</v>
      </c>
      <c r="AC38" s="36">
        <f t="shared" si="31"/>
        <v>1002.772090247952</v>
      </c>
      <c r="AD38" s="36">
        <f t="shared" si="32"/>
        <v>25.708039687137308</v>
      </c>
      <c r="AE38" s="37">
        <f t="shared" si="33"/>
        <v>5.2295225346144916</v>
      </c>
      <c r="AF38" s="40">
        <f t="shared" si="5"/>
        <v>481.55913194622354</v>
      </c>
      <c r="AG38" s="32">
        <f t="shared" si="34"/>
        <v>704.83686694023322</v>
      </c>
      <c r="AH38" s="32">
        <f t="shared" si="35"/>
        <v>19.119587509588634</v>
      </c>
      <c r="AI38" s="33">
        <f t="shared" si="36"/>
        <v>4.9424109837823744</v>
      </c>
      <c r="AJ38" s="33">
        <f t="shared" si="37"/>
        <v>7.7585454990946401</v>
      </c>
      <c r="AK38" s="39">
        <f t="shared" si="6"/>
        <v>704.26940646089531</v>
      </c>
      <c r="AL38" s="36">
        <f t="shared" si="38"/>
        <v>614.71099882020178</v>
      </c>
      <c r="AM38" s="36">
        <f t="shared" si="39"/>
        <v>13.726181688392881</v>
      </c>
      <c r="AN38" s="37">
        <f t="shared" si="40"/>
        <v>6.0041288430354713</v>
      </c>
      <c r="AO38" s="40">
        <f t="shared" si="7"/>
        <v>841.73397924080439</v>
      </c>
      <c r="AP38" s="32">
        <f t="shared" si="56"/>
        <v>697.81720351913259</v>
      </c>
      <c r="AQ38" s="32">
        <f t="shared" si="41"/>
        <v>18.871074016465947</v>
      </c>
      <c r="AR38" s="33">
        <f t="shared" si="42"/>
        <v>4.9576266366944388</v>
      </c>
      <c r="AS38" s="33">
        <f t="shared" si="43"/>
        <v>7.7718832445089756</v>
      </c>
      <c r="AT38" s="39">
        <f t="shared" si="8"/>
        <v>712.57686690769606</v>
      </c>
      <c r="AU38" s="36">
        <f t="shared" si="44"/>
        <v>835.12088724289151</v>
      </c>
      <c r="AV38" s="36">
        <f t="shared" si="45"/>
        <v>22.60120790440056</v>
      </c>
      <c r="AW38" s="37">
        <f t="shared" si="46"/>
        <v>4.953891132266472</v>
      </c>
      <c r="AX38" s="40">
        <f t="shared" si="9"/>
        <v>562.7878651394534</v>
      </c>
      <c r="AY38" s="2">
        <f t="shared" si="57"/>
        <v>5.4230900278247178</v>
      </c>
      <c r="AZ38" s="2">
        <f t="shared" si="47"/>
        <v>708.36712468818632</v>
      </c>
      <c r="BA38" s="2">
        <f t="shared" si="48"/>
        <v>707.98203291285574</v>
      </c>
      <c r="BB38" s="44">
        <f t="shared" si="60"/>
        <v>707.98203291285574</v>
      </c>
      <c r="BC38">
        <f t="shared" si="49"/>
        <v>96</v>
      </c>
      <c r="BD38" s="2">
        <f t="shared" si="50"/>
        <v>37.241422544812622</v>
      </c>
      <c r="BE38" s="2">
        <f t="shared" si="51"/>
        <v>566.38562633028459</v>
      </c>
      <c r="BF38" s="2">
        <f t="shared" si="10"/>
        <v>31.98400541944941</v>
      </c>
      <c r="BG38" s="24">
        <f t="shared" si="61"/>
        <v>0.85882877811563296</v>
      </c>
    </row>
    <row r="39" spans="1:59" x14ac:dyDescent="0.25">
      <c r="A39">
        <f t="shared" si="12"/>
        <v>102</v>
      </c>
      <c r="B39">
        <v>1.7</v>
      </c>
      <c r="C39" s="2">
        <f t="shared" si="58"/>
        <v>707.98203291285574</v>
      </c>
      <c r="D39" s="2">
        <f t="shared" si="13"/>
        <v>18.966255423191349</v>
      </c>
      <c r="E39" s="2">
        <f t="shared" si="14"/>
        <v>700.470611412881</v>
      </c>
      <c r="F39" s="25">
        <f t="shared" si="15"/>
        <v>6.1572738659311108</v>
      </c>
      <c r="G39">
        <f t="shared" si="16"/>
        <v>3.5130511050114584E-5</v>
      </c>
      <c r="H39">
        <f t="shared" si="17"/>
        <v>6.1248176918853855E-5</v>
      </c>
      <c r="I39" s="51">
        <f t="shared" si="59"/>
        <v>3.6339114610807599E-5</v>
      </c>
      <c r="J39" s="28">
        <f t="shared" si="52"/>
        <v>0.28999857381037558</v>
      </c>
      <c r="K39" s="24">
        <f t="shared" si="53"/>
        <v>5.1335063683314903</v>
      </c>
      <c r="L39" s="33">
        <f t="shared" si="54"/>
        <v>7.9222657105521952</v>
      </c>
      <c r="M39" s="39">
        <f t="shared" si="55"/>
        <v>724.55206790222655</v>
      </c>
      <c r="N39" s="40">
        <f t="shared" si="18"/>
        <v>341.95658438568557</v>
      </c>
      <c r="O39" s="32">
        <f t="shared" si="19"/>
        <v>712.9597918297128</v>
      </c>
      <c r="P39" s="32">
        <f t="shared" si="20"/>
        <v>19.394829136735467</v>
      </c>
      <c r="Q39" s="33">
        <f t="shared" si="21"/>
        <v>5.1095759764726472</v>
      </c>
      <c r="R39" s="33">
        <f t="shared" si="22"/>
        <v>7.9022113684617938</v>
      </c>
      <c r="S39" s="39">
        <f t="shared" si="23"/>
        <v>710.05782665339166</v>
      </c>
      <c r="T39" s="36">
        <f t="shared" si="24"/>
        <v>607.25444125423496</v>
      </c>
      <c r="U39" s="36">
        <f t="shared" si="25"/>
        <v>11.067677881440348</v>
      </c>
      <c r="V39" s="37">
        <f t="shared" si="26"/>
        <v>7.626406851514564</v>
      </c>
      <c r="W39" s="40">
        <f t="shared" si="3"/>
        <v>961.552758025971</v>
      </c>
      <c r="X39" s="32">
        <f t="shared" si="27"/>
        <v>701.97699706417598</v>
      </c>
      <c r="Y39" s="32">
        <f t="shared" si="28"/>
        <v>19.019607570283775</v>
      </c>
      <c r="Z39" s="33">
        <f t="shared" si="29"/>
        <v>5.1301151138354042</v>
      </c>
      <c r="AA39" s="33">
        <f t="shared" si="30"/>
        <v>7.9194314741757506</v>
      </c>
      <c r="AB39" s="39">
        <f t="shared" si="4"/>
        <v>722.73858153814149</v>
      </c>
      <c r="AC39" s="36">
        <f t="shared" si="31"/>
        <v>1033.6534248221062</v>
      </c>
      <c r="AD39" s="36">
        <f t="shared" si="32"/>
        <v>26.197785596249375</v>
      </c>
      <c r="AE39" s="37">
        <f t="shared" si="33"/>
        <v>5.4842361299706681</v>
      </c>
      <c r="AF39" s="40">
        <f t="shared" si="5"/>
        <v>479.03468205951742</v>
      </c>
      <c r="AG39" s="32">
        <f t="shared" si="34"/>
        <v>711.54059821436681</v>
      </c>
      <c r="AH39" s="32">
        <f t="shared" si="35"/>
        <v>19.347624711834719</v>
      </c>
      <c r="AI39" s="33">
        <f t="shared" si="36"/>
        <v>5.1118465797245172</v>
      </c>
      <c r="AJ39" s="33">
        <f t="shared" si="37"/>
        <v>7.9041196608895641</v>
      </c>
      <c r="AK39" s="39">
        <f t="shared" si="6"/>
        <v>711.64587556429274</v>
      </c>
      <c r="AL39" s="36">
        <f t="shared" si="38"/>
        <v>614.40405074137743</v>
      </c>
      <c r="AM39" s="36">
        <f t="shared" si="39"/>
        <v>13.674231915922128</v>
      </c>
      <c r="AN39" s="37">
        <f t="shared" si="40"/>
        <v>6.2453518436005133</v>
      </c>
      <c r="AO39" s="40">
        <f t="shared" si="7"/>
        <v>860.0193392938022</v>
      </c>
      <c r="AP39" s="32">
        <f t="shared" si="56"/>
        <v>703.14055381622006</v>
      </c>
      <c r="AQ39" s="32">
        <f t="shared" si="41"/>
        <v>19.060488842767249</v>
      </c>
      <c r="AR39" s="33">
        <f t="shared" si="42"/>
        <v>5.1275970984560031</v>
      </c>
      <c r="AS39" s="33">
        <f t="shared" si="43"/>
        <v>7.9173253962378398</v>
      </c>
      <c r="AT39" s="39">
        <f t="shared" si="8"/>
        <v>721.35070836651835</v>
      </c>
      <c r="AU39" s="36">
        <f t="shared" si="44"/>
        <v>860.17519471957246</v>
      </c>
      <c r="AV39" s="36">
        <f t="shared" si="45"/>
        <v>23.129282468209837</v>
      </c>
      <c r="AW39" s="37">
        <f t="shared" si="46"/>
        <v>5.1692856982003272</v>
      </c>
      <c r="AX39" s="40">
        <f t="shared" si="9"/>
        <v>558.87178679781789</v>
      </c>
      <c r="AY39" s="2">
        <f t="shared" si="57"/>
        <v>5.6255519114718311</v>
      </c>
      <c r="AZ39" s="2">
        <f t="shared" si="47"/>
        <v>716.44824803058611</v>
      </c>
      <c r="BA39" s="2">
        <f t="shared" si="48"/>
        <v>714.8696415442771</v>
      </c>
      <c r="BB39" s="44">
        <f t="shared" si="60"/>
        <v>714.8696415442771</v>
      </c>
      <c r="BC39">
        <f t="shared" si="49"/>
        <v>102</v>
      </c>
      <c r="BD39" s="2">
        <f t="shared" si="50"/>
        <v>36.339114610807599</v>
      </c>
      <c r="BE39" s="2">
        <f t="shared" si="51"/>
        <v>571.89571323542168</v>
      </c>
      <c r="BF39" s="2">
        <f t="shared" si="10"/>
        <v>30.642328847481632</v>
      </c>
      <c r="BG39" s="24">
        <f t="shared" si="61"/>
        <v>0.84323267574516836</v>
      </c>
    </row>
    <row r="40" spans="1:59" x14ac:dyDescent="0.25">
      <c r="A40">
        <f t="shared" si="12"/>
        <v>108</v>
      </c>
      <c r="B40">
        <v>1.8</v>
      </c>
      <c r="C40" s="2">
        <f t="shared" si="58"/>
        <v>714.8696415442771</v>
      </c>
      <c r="D40" s="2">
        <f t="shared" si="13"/>
        <v>19.143652249263205</v>
      </c>
      <c r="E40" s="2">
        <f t="shared" si="14"/>
        <v>705.53243185577605</v>
      </c>
      <c r="F40" s="25">
        <f t="shared" si="15"/>
        <v>6.5057282149111284</v>
      </c>
      <c r="G40">
        <f t="shared" si="16"/>
        <v>3.4176748687718558E-5</v>
      </c>
      <c r="H40">
        <f t="shared" si="17"/>
        <v>5.9585342984350488E-5</v>
      </c>
      <c r="I40" s="51">
        <f t="shared" si="59"/>
        <v>3.5507697643555918E-5</v>
      </c>
      <c r="J40" s="28">
        <f t="shared" si="52"/>
        <v>0.28368272102355813</v>
      </c>
      <c r="K40" s="24">
        <f t="shared" si="53"/>
        <v>5.2999249758905496</v>
      </c>
      <c r="L40" s="33">
        <f t="shared" si="54"/>
        <v>8.0582418524123316</v>
      </c>
      <c r="M40" s="39">
        <f t="shared" si="55"/>
        <v>732.52471280480381</v>
      </c>
      <c r="N40" s="40">
        <f t="shared" si="18"/>
        <v>345.35087932198746</v>
      </c>
      <c r="O40" s="32">
        <f t="shared" si="19"/>
        <v>719.35485072154688</v>
      </c>
      <c r="P40" s="32">
        <f t="shared" si="20"/>
        <v>19.603228174284489</v>
      </c>
      <c r="Q40" s="33">
        <f t="shared" si="21"/>
        <v>5.277073192158162</v>
      </c>
      <c r="R40" s="33">
        <f t="shared" si="22"/>
        <v>8.0399285554504214</v>
      </c>
      <c r="S40" s="39">
        <f t="shared" si="23"/>
        <v>716.81647485363817</v>
      </c>
      <c r="T40" s="36">
        <f t="shared" si="24"/>
        <v>607.3114829765575</v>
      </c>
      <c r="U40" s="36">
        <f t="shared" si="25"/>
        <v>11.127138609244781</v>
      </c>
      <c r="V40" s="37">
        <f t="shared" si="26"/>
        <v>7.8488409953888221</v>
      </c>
      <c r="W40" s="40">
        <f t="shared" si="3"/>
        <v>976.48135611998043</v>
      </c>
      <c r="X40" s="32">
        <f t="shared" si="27"/>
        <v>706.99636703529904</v>
      </c>
      <c r="Y40" s="32">
        <f t="shared" si="28"/>
        <v>19.193987399624611</v>
      </c>
      <c r="Z40" s="33">
        <f t="shared" si="29"/>
        <v>5.2969943914261952</v>
      </c>
      <c r="AA40" s="33">
        <f t="shared" si="30"/>
        <v>8.0558996229433077</v>
      </c>
      <c r="AB40" s="39">
        <f t="shared" si="4"/>
        <v>730.79544094679909</v>
      </c>
      <c r="AC40" s="36">
        <f t="shared" si="31"/>
        <v>1064.4710638391334</v>
      </c>
      <c r="AD40" s="36">
        <f t="shared" si="32"/>
        <v>26.668424312217269</v>
      </c>
      <c r="AE40" s="37">
        <f t="shared" si="33"/>
        <v>5.7400283864759603</v>
      </c>
      <c r="AF40" s="40">
        <f t="shared" si="5"/>
        <v>476.42642631739926</v>
      </c>
      <c r="AG40" s="32">
        <f t="shared" si="34"/>
        <v>717.94604373073025</v>
      </c>
      <c r="AH40" s="32">
        <f t="shared" si="35"/>
        <v>19.557905366994184</v>
      </c>
      <c r="AI40" s="33">
        <f t="shared" si="36"/>
        <v>5.2789433630866478</v>
      </c>
      <c r="AJ40" s="33">
        <f t="shared" si="37"/>
        <v>8.041431555472716</v>
      </c>
      <c r="AK40" s="39">
        <f t="shared" si="6"/>
        <v>718.35733134992665</v>
      </c>
      <c r="AL40" s="36">
        <f t="shared" si="38"/>
        <v>614.09664942562904</v>
      </c>
      <c r="AM40" s="36">
        <f t="shared" si="39"/>
        <v>13.620707471004826</v>
      </c>
      <c r="AN40" s="37">
        <f t="shared" si="40"/>
        <v>6.4835758863834858</v>
      </c>
      <c r="AO40" s="40">
        <f t="shared" si="7"/>
        <v>877.69425235152005</v>
      </c>
      <c r="AP40" s="32">
        <f t="shared" si="56"/>
        <v>708.16548600504075</v>
      </c>
      <c r="AQ40" s="32">
        <f t="shared" si="41"/>
        <v>19.23388625550319</v>
      </c>
      <c r="AR40" s="33">
        <f t="shared" si="42"/>
        <v>5.2947474462406534</v>
      </c>
      <c r="AS40" s="33">
        <f t="shared" si="43"/>
        <v>8.0541025234478969</v>
      </c>
      <c r="AT40" s="39">
        <f t="shared" si="8"/>
        <v>729.42620616431168</v>
      </c>
      <c r="AU40" s="36">
        <f t="shared" si="44"/>
        <v>886.0970149521288</v>
      </c>
      <c r="AV40" s="36">
        <f>((1.12*10^-5)*(AO40^2))+(0.00982*AO40)+6.4</f>
        <v>23.646846204933937</v>
      </c>
      <c r="AW40" s="37">
        <f t="shared" si="46"/>
        <v>5.3887195653605531</v>
      </c>
      <c r="AX40" s="40">
        <f t="shared" si="9"/>
        <v>554.54168920289874</v>
      </c>
      <c r="AY40" s="2">
        <f t="shared" si="57"/>
        <v>5.8261154033150593</v>
      </c>
      <c r="AZ40" s="2">
        <f t="shared" si="47"/>
        <v>723.84886332866893</v>
      </c>
      <c r="BA40" s="2">
        <f t="shared" si="48"/>
        <v>721.28593099794966</v>
      </c>
      <c r="BB40" s="44">
        <f t="shared" si="60"/>
        <v>721.28593099794966</v>
      </c>
      <c r="BC40">
        <f t="shared" si="49"/>
        <v>108</v>
      </c>
      <c r="BD40" s="2">
        <f t="shared" si="50"/>
        <v>35.507697643555922</v>
      </c>
      <c r="BE40" s="2">
        <f t="shared" si="51"/>
        <v>577.02874479835975</v>
      </c>
      <c r="BF40" s="2">
        <f t="shared" si="10"/>
        <v>29.421375124650247</v>
      </c>
      <c r="BG40" s="24">
        <f t="shared" si="61"/>
        <v>0.82859146261739547</v>
      </c>
    </row>
    <row r="41" spans="1:59" x14ac:dyDescent="0.25">
      <c r="A41">
        <f t="shared" si="12"/>
        <v>114</v>
      </c>
      <c r="B41">
        <v>1.9</v>
      </c>
      <c r="C41" s="2">
        <f t="shared" si="58"/>
        <v>721.28593099794966</v>
      </c>
      <c r="D41" s="2">
        <f t="shared" si="13"/>
        <v>19.309865858062352</v>
      </c>
      <c r="E41" s="2">
        <f t="shared" si="14"/>
        <v>710.41317258673666</v>
      </c>
      <c r="F41" s="25">
        <f t="shared" si="15"/>
        <v>6.8551438908674376</v>
      </c>
      <c r="G41">
        <f t="shared" si="16"/>
        <v>3.3294340398207089E-5</v>
      </c>
      <c r="H41">
        <f t="shared" si="17"/>
        <v>5.8046911079572225E-5</v>
      </c>
      <c r="I41" s="51">
        <f t="shared" si="59"/>
        <v>3.4738481691166783E-5</v>
      </c>
      <c r="J41" s="28">
        <f t="shared" si="52"/>
        <v>0.27780791839085855</v>
      </c>
      <c r="K41" s="24">
        <f t="shared" si="53"/>
        <v>5.4635975388827722</v>
      </c>
      <c r="L41" s="33">
        <f t="shared" si="54"/>
        <v>8.1861273443132792</v>
      </c>
      <c r="M41" s="39">
        <f t="shared" si="55"/>
        <v>739.75834421256934</v>
      </c>
      <c r="N41" s="40">
        <f t="shared" si="18"/>
        <v>348.5735654445196</v>
      </c>
      <c r="O41" s="32">
        <f t="shared" si="19"/>
        <v>725.38004610432165</v>
      </c>
      <c r="P41" s="32">
        <f t="shared" si="20"/>
        <v>19.793541907887203</v>
      </c>
      <c r="Q41" s="33">
        <f t="shared" si="21"/>
        <v>5.4423822529184163</v>
      </c>
      <c r="R41" s="33">
        <f t="shared" si="22"/>
        <v>8.1698729477883276</v>
      </c>
      <c r="S41" s="39">
        <f t="shared" si="23"/>
        <v>723.05624231824481</v>
      </c>
      <c r="T41" s="36">
        <f t="shared" si="24"/>
        <v>607.36652268865419</v>
      </c>
      <c r="U41" s="36">
        <f t="shared" si="25"/>
        <v>11.183831954564276</v>
      </c>
      <c r="V41" s="37">
        <f t="shared" si="26"/>
        <v>8.0650519568962853</v>
      </c>
      <c r="W41" s="40">
        <f t="shared" si="3"/>
        <v>990.71521766450087</v>
      </c>
      <c r="X41" s="32">
        <f t="shared" si="27"/>
        <v>711.78825095038371</v>
      </c>
      <c r="Y41" s="32">
        <f t="shared" si="28"/>
        <v>19.355887990585423</v>
      </c>
      <c r="Z41" s="33">
        <f t="shared" si="29"/>
        <v>5.4611570600595627</v>
      </c>
      <c r="AA41" s="33">
        <f t="shared" si="30"/>
        <v>8.1842623815501341</v>
      </c>
      <c r="AB41" s="39">
        <f t="shared" si="4"/>
        <v>738.16102532602406</v>
      </c>
      <c r="AC41" s="36">
        <f t="shared" si="31"/>
        <v>1095.215279811146</v>
      </c>
      <c r="AD41" s="36">
        <f t="shared" si="32"/>
        <v>27.121809833600018</v>
      </c>
      <c r="AE41" s="37">
        <f t="shared" si="33"/>
        <v>5.9969134311224144</v>
      </c>
      <c r="AF41" s="40">
        <f t="shared" si="5"/>
        <v>473.76229646827295</v>
      </c>
      <c r="AG41" s="32">
        <f t="shared" si="34"/>
        <v>724.03111726247835</v>
      </c>
      <c r="AH41" s="32">
        <f t="shared" si="35"/>
        <v>19.751416300977667</v>
      </c>
      <c r="AI41" s="33">
        <f t="shared" si="36"/>
        <v>5.4438473765850457</v>
      </c>
      <c r="AJ41" s="33">
        <f t="shared" si="37"/>
        <v>8.1709985358893373</v>
      </c>
      <c r="AK41" s="39">
        <f t="shared" si="6"/>
        <v>724.50315812953716</v>
      </c>
      <c r="AL41" s="36">
        <f t="shared" si="38"/>
        <v>613.79269163208176</v>
      </c>
      <c r="AM41" s="36">
        <f t="shared" si="39"/>
        <v>13.56619374313323</v>
      </c>
      <c r="AN41" s="37">
        <f t="shared" si="40"/>
        <v>6.7190929635285315</v>
      </c>
      <c r="AO41" s="40">
        <f t="shared" si="7"/>
        <v>894.80769773577572</v>
      </c>
      <c r="AP41" s="32">
        <f t="shared" si="56"/>
        <v>712.92134493321305</v>
      </c>
      <c r="AQ41" s="32">
        <f t="shared" si="41"/>
        <v>19.393555065596395</v>
      </c>
      <c r="AR41" s="33">
        <f t="shared" si="42"/>
        <v>5.4592268613963908</v>
      </c>
      <c r="AS41" s="33">
        <f t="shared" si="43"/>
        <v>8.1827864728428992</v>
      </c>
      <c r="AT41" s="39">
        <f t="shared" si="8"/>
        <v>736.85491154124713</v>
      </c>
      <c r="AU41" s="36">
        <f t="shared" si="44"/>
        <v>912.84546844835415</v>
      </c>
      <c r="AV41" s="36">
        <f t="shared" si="45"/>
        <v>24.154636730149953</v>
      </c>
      <c r="AW41" s="37">
        <f t="shared" si="46"/>
        <v>5.6123365431934866</v>
      </c>
      <c r="AX41" s="40">
        <f t="shared" si="9"/>
        <v>549.88350016158529</v>
      </c>
      <c r="AY41" s="2">
        <f t="shared" si="57"/>
        <v>6.025001055712516</v>
      </c>
      <c r="AZ41" s="2">
        <f t="shared" si="47"/>
        <v>730.64383432876321</v>
      </c>
      <c r="BA41" s="2">
        <f t="shared" si="48"/>
        <v>727.29217800753372</v>
      </c>
      <c r="BB41" s="44">
        <f t="shared" si="60"/>
        <v>727.29217800753372</v>
      </c>
      <c r="BC41">
        <f t="shared" si="49"/>
        <v>114</v>
      </c>
      <c r="BD41" s="2">
        <f t="shared" si="50"/>
        <v>34.738481691166783</v>
      </c>
      <c r="BE41" s="2">
        <f t="shared" si="51"/>
        <v>581.833742406027</v>
      </c>
      <c r="BF41" s="2">
        <f t="shared" si="10"/>
        <v>28.304941711923519</v>
      </c>
      <c r="BG41" s="24">
        <f t="shared" si="61"/>
        <v>0.8148007723412054</v>
      </c>
    </row>
    <row r="42" spans="1:59" x14ac:dyDescent="0.25">
      <c r="A42" s="20">
        <f t="shared" si="12"/>
        <v>120</v>
      </c>
      <c r="B42" s="20">
        <v>2</v>
      </c>
      <c r="C42" s="27">
        <f t="shared" si="58"/>
        <v>727.29217800753372</v>
      </c>
      <c r="D42" s="2">
        <f t="shared" si="13"/>
        <v>19.466293004572535</v>
      </c>
      <c r="E42" s="2">
        <f t="shared" si="14"/>
        <v>715.12895200984531</v>
      </c>
      <c r="F42" s="25">
        <f t="shared" si="15"/>
        <v>7.2054701914105905</v>
      </c>
      <c r="G42">
        <f t="shared" si="16"/>
        <v>3.2474878885025963E-5</v>
      </c>
      <c r="H42">
        <f t="shared" si="17"/>
        <v>5.6618223530281774E-5</v>
      </c>
      <c r="I42" s="51">
        <f t="shared" si="59"/>
        <v>3.4024137916521558E-5</v>
      </c>
      <c r="J42" s="28">
        <f t="shared" si="52"/>
        <v>0.27232425238753971</v>
      </c>
      <c r="K42" s="24">
        <f t="shared" si="53"/>
        <v>5.6247179360262916</v>
      </c>
      <c r="L42" s="33">
        <f t="shared" si="54"/>
        <v>8.3064907952321114</v>
      </c>
      <c r="M42" s="39">
        <f t="shared" si="55"/>
        <v>746.31300862792875</v>
      </c>
      <c r="N42" s="40">
        <f t="shared" si="18"/>
        <v>351.63939157420606</v>
      </c>
      <c r="O42" s="32">
        <f t="shared" si="19"/>
        <v>731.02622269763992</v>
      </c>
      <c r="P42" s="32">
        <f t="shared" si="20"/>
        <v>19.967004541415697</v>
      </c>
      <c r="Q42" s="33">
        <f t="shared" si="21"/>
        <v>5.605568745442203</v>
      </c>
      <c r="R42" s="33">
        <f t="shared" si="22"/>
        <v>8.2924683767038481</v>
      </c>
      <c r="S42" s="39">
        <f t="shared" si="23"/>
        <v>728.85082969818029</v>
      </c>
      <c r="T42" s="36">
        <f t="shared" si="24"/>
        <v>607.41999997061305</v>
      </c>
      <c r="U42" s="36">
        <f t="shared" si="25"/>
        <v>11.237981756373497</v>
      </c>
      <c r="V42" s="37">
        <f t="shared" si="26"/>
        <v>8.2756174864224921</v>
      </c>
      <c r="W42" s="40">
        <f t="shared" si="3"/>
        <v>1004.3211739464025</v>
      </c>
      <c r="X42" s="32">
        <f t="shared" si="27"/>
        <v>716.37622509356697</v>
      </c>
      <c r="Y42" s="32">
        <f t="shared" si="28"/>
        <v>19.507018705495462</v>
      </c>
      <c r="Z42" s="33">
        <f t="shared" si="29"/>
        <v>5.6227646739915764</v>
      </c>
      <c r="AA42" s="33">
        <f t="shared" si="30"/>
        <v>8.3050639416606593</v>
      </c>
      <c r="AB42" s="39">
        <f t="shared" si="4"/>
        <v>744.88563774813315</v>
      </c>
      <c r="AC42" s="36">
        <f t="shared" si="31"/>
        <v>1125.872689484172</v>
      </c>
      <c r="AD42" s="36">
        <f t="shared" si="32"/>
        <v>27.559437357048971</v>
      </c>
      <c r="AE42" s="37">
        <f t="shared" si="33"/>
        <v>6.2548742288258268</v>
      </c>
      <c r="AF42" s="40">
        <f t="shared" si="5"/>
        <v>471.06572764530745</v>
      </c>
      <c r="AG42" s="32">
        <f t="shared" si="34"/>
        <v>729.78142917932803</v>
      </c>
      <c r="AH42" s="32">
        <f t="shared" si="35"/>
        <v>19.929148631909229</v>
      </c>
      <c r="AI42" s="33">
        <f t="shared" si="36"/>
        <v>5.6066533519654485</v>
      </c>
      <c r="AJ42" s="33">
        <f t="shared" si="37"/>
        <v>8.2932646271824524</v>
      </c>
      <c r="AK42" s="39">
        <f t="shared" si="6"/>
        <v>730.16414019033675</v>
      </c>
      <c r="AL42" s="36">
        <f t="shared" si="38"/>
        <v>613.49515662188287</v>
      </c>
      <c r="AM42" s="36">
        <f t="shared" si="39"/>
        <v>13.511178146811353</v>
      </c>
      <c r="AN42" s="37">
        <f t="shared" si="40"/>
        <v>6.9521248383703744</v>
      </c>
      <c r="AO42" s="40">
        <f t="shared" si="7"/>
        <v>911.40025276045799</v>
      </c>
      <c r="AP42" s="32">
        <f t="shared" si="56"/>
        <v>717.43474579156975</v>
      </c>
      <c r="AQ42" s="32">
        <f t="shared" si="41"/>
        <v>19.541376178811916</v>
      </c>
      <c r="AR42" s="33">
        <f t="shared" si="42"/>
        <v>5.621172393949827</v>
      </c>
      <c r="AS42" s="33">
        <f t="shared" si="43"/>
        <v>8.3039002025691069</v>
      </c>
      <c r="AT42" s="39">
        <f t="shared" si="8"/>
        <v>743.68239295192461</v>
      </c>
      <c r="AU42" s="36">
        <f t="shared" si="44"/>
        <v>940.37897962228533</v>
      </c>
      <c r="AV42" s="36">
        <f t="shared" si="45"/>
        <v>24.653235194304159</v>
      </c>
      <c r="AW42" s="37">
        <f t="shared" si="46"/>
        <v>5.8402123412737312</v>
      </c>
      <c r="AX42" s="40">
        <f t="shared" si="9"/>
        <v>544.97039238537252</v>
      </c>
      <c r="AY42" s="27">
        <f t="shared" si="57"/>
        <v>6.2223735075301851</v>
      </c>
      <c r="AZ42" s="27">
        <f t="shared" si="47"/>
        <v>736.89575014714376</v>
      </c>
      <c r="BA42" s="27">
        <f t="shared" si="48"/>
        <v>732.93938668438523</v>
      </c>
      <c r="BB42" s="49">
        <f t="shared" si="60"/>
        <v>732.93938668438523</v>
      </c>
      <c r="BC42" s="20">
        <f>A42</f>
        <v>120</v>
      </c>
      <c r="BD42" s="27">
        <f>I42*10^6</f>
        <v>34.02413791652156</v>
      </c>
      <c r="BE42" s="27">
        <f t="shared" si="51"/>
        <v>586.35150934750823</v>
      </c>
      <c r="BF42" s="27">
        <f t="shared" si="10"/>
        <v>27.279668430746874</v>
      </c>
      <c r="BG42" s="54">
        <f t="shared" si="61"/>
        <v>0.8017739787464333</v>
      </c>
    </row>
    <row r="43" spans="1:59" x14ac:dyDescent="0.25">
      <c r="A43">
        <f t="shared" si="12"/>
        <v>126</v>
      </c>
      <c r="B43">
        <v>2.1</v>
      </c>
      <c r="C43" s="2">
        <f t="shared" si="58"/>
        <v>732.93938668438523</v>
      </c>
      <c r="D43" s="2">
        <f t="shared" si="13"/>
        <v>19.614106396237432</v>
      </c>
      <c r="E43" s="2">
        <f t="shared" si="14"/>
        <v>719.69447898680676</v>
      </c>
      <c r="F43" s="25">
        <f t="shared" si="15"/>
        <v>7.5566649101608965</v>
      </c>
      <c r="G43">
        <f t="shared" si="16"/>
        <v>3.1711268932610639E-5</v>
      </c>
      <c r="H43">
        <f t="shared" si="17"/>
        <v>5.52869102056389E-5</v>
      </c>
      <c r="I43" s="51">
        <f t="shared" si="59"/>
        <v>3.3358481254200121E-5</v>
      </c>
      <c r="J43" s="28">
        <f t="shared" si="52"/>
        <v>0.26718937532146042</v>
      </c>
      <c r="K43" s="24">
        <f t="shared" si="53"/>
        <v>5.7834598769060035</v>
      </c>
      <c r="L43" s="33">
        <f t="shared" si="54"/>
        <v>8.4198432059232822</v>
      </c>
      <c r="M43" s="39">
        <f t="shared" si="55"/>
        <v>752.2415920511105</v>
      </c>
      <c r="N43" s="40">
        <f t="shared" si="18"/>
        <v>354.56096740728776</v>
      </c>
      <c r="O43" s="32">
        <f t="shared" si="19"/>
        <v>736.28832705714501</v>
      </c>
      <c r="P43" s="32">
        <f t="shared" si="20"/>
        <v>20.124727457431707</v>
      </c>
      <c r="Q43" s="33">
        <f t="shared" si="21"/>
        <v>5.7666818309334831</v>
      </c>
      <c r="R43" s="33">
        <f t="shared" si="22"/>
        <v>8.4081042869587819</v>
      </c>
      <c r="S43" s="39">
        <f t="shared" si="23"/>
        <v>734.26306618610738</v>
      </c>
      <c r="T43" s="36">
        <f t="shared" si="24"/>
        <v>607.47224965921544</v>
      </c>
      <c r="U43" s="36">
        <f t="shared" si="25"/>
        <v>11.289779671558033</v>
      </c>
      <c r="V43" s="37">
        <f t="shared" si="26"/>
        <v>8.4810389878770156</v>
      </c>
      <c r="W43" s="40">
        <f t="shared" si="3"/>
        <v>1017.356849412995</v>
      </c>
      <c r="X43" s="32">
        <f t="shared" si="27"/>
        <v>720.7832801667588</v>
      </c>
      <c r="Y43" s="32">
        <f t="shared" si="28"/>
        <v>19.648856514035842</v>
      </c>
      <c r="Z43" s="33">
        <f t="shared" si="29"/>
        <v>5.7819656245300184</v>
      </c>
      <c r="AA43" s="33">
        <f t="shared" si="30"/>
        <v>8.4188000369317706</v>
      </c>
      <c r="AB43" s="39">
        <f t="shared" si="4"/>
        <v>751.01221303812144</v>
      </c>
      <c r="AC43" s="36">
        <f t="shared" si="31"/>
        <v>1156.433274388145</v>
      </c>
      <c r="AD43" s="36">
        <f t="shared" si="32"/>
        <v>27.982611802568009</v>
      </c>
      <c r="AE43" s="37">
        <f t="shared" si="33"/>
        <v>6.5138899093520459</v>
      </c>
      <c r="AF43" s="40">
        <f t="shared" si="5"/>
        <v>468.35466984647098</v>
      </c>
      <c r="AG43" s="32">
        <f t="shared" si="34"/>
        <v>735.18492354855721</v>
      </c>
      <c r="AH43" s="32">
        <f t="shared" si="35"/>
        <v>20.091956586317423</v>
      </c>
      <c r="AI43" s="33">
        <f t="shared" si="36"/>
        <v>5.7674314853354502</v>
      </c>
      <c r="AJ43" s="33">
        <f t="shared" si="37"/>
        <v>8.4086300001935079</v>
      </c>
      <c r="AK43" s="39">
        <f t="shared" si="6"/>
        <v>735.41106452069141</v>
      </c>
      <c r="AL43" s="36">
        <f t="shared" si="38"/>
        <v>613.20608789997868</v>
      </c>
      <c r="AM43" s="36">
        <f t="shared" si="39"/>
        <v>13.456031141682711</v>
      </c>
      <c r="AN43" s="37">
        <f t="shared" si="40"/>
        <v>7.182862567827704</v>
      </c>
      <c r="AO43" s="40">
        <f t="shared" si="7"/>
        <v>927.50775087812065</v>
      </c>
      <c r="AP43" s="32">
        <f t="shared" si="56"/>
        <v>721.73335210503978</v>
      </c>
      <c r="AQ43" s="32">
        <f t="shared" si="41"/>
        <v>19.679026312371104</v>
      </c>
      <c r="AR43" s="33">
        <f t="shared" si="42"/>
        <v>5.78071091228336</v>
      </c>
      <c r="AS43" s="33">
        <f t="shared" si="43"/>
        <v>8.417923749002771</v>
      </c>
      <c r="AT43" s="39">
        <f t="shared" si="8"/>
        <v>749.94553139913273</v>
      </c>
      <c r="AU43" s="36">
        <f t="shared" si="44"/>
        <v>968.65858889762353</v>
      </c>
      <c r="AV43" s="36">
        <f t="shared" si="45"/>
        <v>25.143157146539835</v>
      </c>
      <c r="AW43" s="37">
        <f t="shared" si="46"/>
        <v>6.0723809137455982</v>
      </c>
      <c r="AX43" s="40">
        <f t="shared" si="9"/>
        <v>539.86353807985404</v>
      </c>
      <c r="AY43" s="2">
        <f t="shared" si="57"/>
        <v>6.4183702789855843</v>
      </c>
      <c r="AZ43" s="2">
        <f t="shared" si="47"/>
        <v>742.65796878601327</v>
      </c>
      <c r="BA43" s="2">
        <f t="shared" si="48"/>
        <v>738.27070205436019</v>
      </c>
      <c r="BB43" s="44">
        <f t="shared" si="60"/>
        <v>738.27070205436019</v>
      </c>
      <c r="BC43">
        <f t="shared" si="49"/>
        <v>126</v>
      </c>
      <c r="BD43" s="2">
        <f t="shared" si="50"/>
        <v>33.358481254200122</v>
      </c>
      <c r="BE43" s="2">
        <f t="shared" si="51"/>
        <v>590.61656164348813</v>
      </c>
      <c r="BF43" s="2">
        <f t="shared" si="10"/>
        <v>26.334427501758523</v>
      </c>
      <c r="BG43" s="24">
        <f t="shared" si="61"/>
        <v>0.78943724389259451</v>
      </c>
    </row>
    <row r="44" spans="1:59" x14ac:dyDescent="0.25">
      <c r="A44">
        <f t="shared" si="12"/>
        <v>132</v>
      </c>
      <c r="B44">
        <v>2.2000000000000002</v>
      </c>
      <c r="C44" s="2">
        <f t="shared" si="58"/>
        <v>738.27070205436019</v>
      </c>
      <c r="D44" s="2">
        <f t="shared" si="13"/>
        <v>19.7543069447064</v>
      </c>
      <c r="E44" s="2">
        <f t="shared" si="14"/>
        <v>724.12340272417009</v>
      </c>
      <c r="F44" s="25">
        <f t="shared" si="15"/>
        <v>7.9086925407644282</v>
      </c>
      <c r="G44">
        <f t="shared" si="16"/>
        <v>3.099747774653511E-5</v>
      </c>
      <c r="H44">
        <f t="shared" si="17"/>
        <v>5.4042453249532939E-5</v>
      </c>
      <c r="I44" s="51">
        <f t="shared" si="59"/>
        <v>3.2736252776147141E-5</v>
      </c>
      <c r="J44" s="28">
        <f t="shared" si="52"/>
        <v>0.26236709911666389</v>
      </c>
      <c r="K44" s="24">
        <f t="shared" si="53"/>
        <v>5.9399795575880692</v>
      </c>
      <c r="L44" s="33">
        <f t="shared" si="54"/>
        <v>8.5266459251318025</v>
      </c>
      <c r="M44" s="39">
        <f t="shared" si="55"/>
        <v>757.59072292652183</v>
      </c>
      <c r="N44" s="40">
        <f t="shared" si="18"/>
        <v>357.34903706904129</v>
      </c>
      <c r="O44" s="32">
        <f t="shared" si="19"/>
        <v>741.16449390022285</v>
      </c>
      <c r="P44" s="32">
        <f t="shared" si="20"/>
        <v>20.26771037793894</v>
      </c>
      <c r="Q44" s="33">
        <f t="shared" si="21"/>
        <v>5.9257603081200401</v>
      </c>
      <c r="R44" s="33">
        <f t="shared" si="22"/>
        <v>8.5171435769147479</v>
      </c>
      <c r="S44" s="39">
        <f t="shared" si="23"/>
        <v>739.34708496215558</v>
      </c>
      <c r="T44" s="36">
        <f t="shared" si="24"/>
        <v>607.52352323254468</v>
      </c>
      <c r="U44" s="36">
        <f t="shared" si="25"/>
        <v>11.339388888112701</v>
      </c>
      <c r="V44" s="37">
        <f t="shared" si="26"/>
        <v>8.6817567428155904</v>
      </c>
      <c r="W44" s="40">
        <f t="shared" si="3"/>
        <v>1029.8724209259469</v>
      </c>
      <c r="X44" s="32">
        <f t="shared" si="27"/>
        <v>725.03173389192682</v>
      </c>
      <c r="Y44" s="32">
        <f t="shared" si="28"/>
        <v>19.782690429199185</v>
      </c>
      <c r="Z44" s="33">
        <f t="shared" si="29"/>
        <v>5.9388974352088209</v>
      </c>
      <c r="AA44" s="33">
        <f t="shared" si="30"/>
        <v>8.5259241669521941</v>
      </c>
      <c r="AB44" s="39">
        <f t="shared" si="4"/>
        <v>756.57755362085175</v>
      </c>
      <c r="AC44" s="36">
        <f t="shared" si="31"/>
        <v>1186.8900081794263</v>
      </c>
      <c r="AD44" s="36">
        <f t="shared" si="32"/>
        <v>28.392483851392157</v>
      </c>
      <c r="AE44" s="37">
        <f t="shared" si="33"/>
        <v>6.773938520723422</v>
      </c>
      <c r="AF44" s="40">
        <f t="shared" si="5"/>
        <v>465.64277827337872</v>
      </c>
      <c r="AG44" s="32">
        <f t="shared" si="34"/>
        <v>740.23148228097762</v>
      </c>
      <c r="AH44" s="32">
        <f t="shared" si="35"/>
        <v>20.240579036557392</v>
      </c>
      <c r="AI44" s="33">
        <f t="shared" si="36"/>
        <v>5.9262338355821038</v>
      </c>
      <c r="AJ44" s="33">
        <f t="shared" si="37"/>
        <v>8.5174606622071973</v>
      </c>
      <c r="AK44" s="39">
        <f t="shared" si="6"/>
        <v>740.30654175290124</v>
      </c>
      <c r="AL44" s="36">
        <f t="shared" si="38"/>
        <v>612.92682268838917</v>
      </c>
      <c r="AM44" s="36">
        <f t="shared" si="39"/>
        <v>13.40103188857587</v>
      </c>
      <c r="AN44" s="37">
        <f t="shared" si="40"/>
        <v>7.4114733447256693</v>
      </c>
      <c r="AO44" s="40">
        <f t="shared" si="7"/>
        <v>943.16216020977333</v>
      </c>
      <c r="AP44" s="32">
        <f t="shared" si="56"/>
        <v>725.84542316698219</v>
      </c>
      <c r="AQ44" s="32">
        <f t="shared" si="41"/>
        <v>19.808012528549462</v>
      </c>
      <c r="AR44" s="33">
        <f t="shared" si="42"/>
        <v>5.9379618785091788</v>
      </c>
      <c r="AS44" s="33">
        <f t="shared" si="43"/>
        <v>8.5252999805290592</v>
      </c>
      <c r="AT44" s="39">
        <f t="shared" si="8"/>
        <v>755.6740856647184</v>
      </c>
      <c r="AU44" s="36">
        <f t="shared" si="44"/>
        <v>997.64795485736477</v>
      </c>
      <c r="AV44" s="36">
        <f t="shared" si="45"/>
        <v>25.624866850317517</v>
      </c>
      <c r="AW44" s="37">
        <f t="shared" si="46"/>
        <v>6.3088450887107976</v>
      </c>
      <c r="AX44" s="40">
        <f t="shared" si="9"/>
        <v>534.61400972045305</v>
      </c>
      <c r="AY44" s="2">
        <f t="shared" si="57"/>
        <v>6.6131083942994531</v>
      </c>
      <c r="AZ44" s="2">
        <f t="shared" si="47"/>
        <v>747.97631650015683</v>
      </c>
      <c r="BA44" s="2">
        <f t="shared" si="48"/>
        <v>743.32284228238802</v>
      </c>
      <c r="BB44" s="44">
        <f t="shared" si="60"/>
        <v>743.32284228238802</v>
      </c>
      <c r="BC44">
        <f t="shared" si="49"/>
        <v>132</v>
      </c>
      <c r="BD44" s="2">
        <f t="shared" si="50"/>
        <v>32.73625277614714</v>
      </c>
      <c r="BE44" s="2">
        <f t="shared" si="51"/>
        <v>594.65827382591044</v>
      </c>
      <c r="BF44" s="2">
        <f t="shared" si="10"/>
        <v>25.45986758290681</v>
      </c>
      <c r="BG44" s="24">
        <f t="shared" si="61"/>
        <v>0.77772699755843233</v>
      </c>
    </row>
    <row r="45" spans="1:59" x14ac:dyDescent="0.25">
      <c r="A45">
        <f t="shared" si="12"/>
        <v>138</v>
      </c>
      <c r="B45">
        <v>2.2999999999999998</v>
      </c>
      <c r="C45" s="2">
        <f t="shared" si="58"/>
        <v>743.32284228238802</v>
      </c>
      <c r="D45" s="2">
        <f t="shared" si="13"/>
        <v>19.887753407231251</v>
      </c>
      <c r="E45" s="2">
        <f t="shared" si="14"/>
        <v>728.42830488686536</v>
      </c>
      <c r="F45" s="25">
        <f t="shared" si="15"/>
        <v>8.2615236049399599</v>
      </c>
      <c r="G45">
        <f t="shared" si="16"/>
        <v>3.0328339216689662E-5</v>
      </c>
      <c r="H45">
        <f t="shared" si="17"/>
        <v>5.287584582384728E-5</v>
      </c>
      <c r="I45" s="51">
        <f t="shared" si="59"/>
        <v>3.2152949063304311E-5</v>
      </c>
      <c r="J45" s="28">
        <f t="shared" si="52"/>
        <v>0.2578262851276002</v>
      </c>
      <c r="K45" s="24">
        <f t="shared" si="53"/>
        <v>6.0944182138988623</v>
      </c>
      <c r="L45" s="33">
        <f t="shared" si="54"/>
        <v>8.627317489293155</v>
      </c>
      <c r="M45" s="39">
        <f t="shared" si="55"/>
        <v>762.4018484805481</v>
      </c>
      <c r="N45" s="40">
        <f t="shared" si="18"/>
        <v>360.01285526912972</v>
      </c>
      <c r="O45" s="32">
        <f t="shared" si="19"/>
        <v>745.65559196664901</v>
      </c>
      <c r="P45" s="32">
        <f t="shared" si="20"/>
        <v>20.396859832024418</v>
      </c>
      <c r="Q45" s="33">
        <f t="shared" si="21"/>
        <v>6.0828363755450079</v>
      </c>
      <c r="R45" s="33">
        <f t="shared" si="22"/>
        <v>8.6199275137563767</v>
      </c>
      <c r="S45" s="39">
        <f t="shared" si="23"/>
        <v>744.14969434566046</v>
      </c>
      <c r="T45" s="36">
        <f t="shared" si="24"/>
        <v>607.57400745752602</v>
      </c>
      <c r="U45" s="36">
        <f t="shared" si="25"/>
        <v>11.386949905484006</v>
      </c>
      <c r="V45" s="37">
        <f t="shared" si="26"/>
        <v>8.8781594921309264</v>
      </c>
      <c r="W45" s="40">
        <f t="shared" si="3"/>
        <v>1041.9118467093786</v>
      </c>
      <c r="X45" s="32">
        <f t="shared" si="27"/>
        <v>729.14295284461889</v>
      </c>
      <c r="Y45" s="32">
        <f t="shared" si="28"/>
        <v>19.909648195535475</v>
      </c>
      <c r="Z45" s="33">
        <f t="shared" si="29"/>
        <v>6.0936886860500179</v>
      </c>
      <c r="AA45" s="33">
        <f t="shared" si="30"/>
        <v>8.6268527602449261</v>
      </c>
      <c r="AB45" s="39">
        <f t="shared" si="4"/>
        <v>761.61357463074467</v>
      </c>
      <c r="AC45" s="36">
        <f t="shared" si="31"/>
        <v>1217.2382362977296</v>
      </c>
      <c r="AD45" s="36">
        <f t="shared" si="32"/>
        <v>28.790073653395588</v>
      </c>
      <c r="AE45" s="37">
        <f t="shared" si="33"/>
        <v>7.0349979757945551</v>
      </c>
      <c r="AF45" s="40">
        <f t="shared" si="5"/>
        <v>462.94041125937639</v>
      </c>
      <c r="AG45" s="32">
        <f t="shared" si="34"/>
        <v>744.91286647660957</v>
      </c>
      <c r="AH45" s="32">
        <f t="shared" si="35"/>
        <v>20.37566395796631</v>
      </c>
      <c r="AI45" s="33">
        <f t="shared" si="36"/>
        <v>6.083098836532697</v>
      </c>
      <c r="AJ45" s="33">
        <f t="shared" si="37"/>
        <v>8.6200952656661283</v>
      </c>
      <c r="AK45" s="39">
        <f t="shared" si="6"/>
        <v>744.9061551979637</v>
      </c>
      <c r="AL45" s="36">
        <f t="shared" si="38"/>
        <v>612.65817687599076</v>
      </c>
      <c r="AM45" s="36">
        <f t="shared" si="39"/>
        <v>13.346389671589483</v>
      </c>
      <c r="AN45" s="37">
        <f t="shared" si="40"/>
        <v>7.6381045759933039</v>
      </c>
      <c r="AO45" s="40">
        <f t="shared" si="7"/>
        <v>958.39216950300101</v>
      </c>
      <c r="AP45" s="32">
        <f t="shared" si="56"/>
        <v>729.79926177246284</v>
      </c>
      <c r="AQ45" s="32">
        <f t="shared" si="41"/>
        <v>19.92969246062431</v>
      </c>
      <c r="AR45" s="33">
        <f t="shared" si="42"/>
        <v>6.0930394398578542</v>
      </c>
      <c r="AS45" s="33">
        <f t="shared" si="43"/>
        <v>8.6264390871619518</v>
      </c>
      <c r="AT45" s="39">
        <f t="shared" si="8"/>
        <v>760.89216717607849</v>
      </c>
      <c r="AU45" s="36">
        <f t="shared" si="44"/>
        <v>1027.3131694246604</v>
      </c>
      <c r="AV45" s="36">
        <f t="shared" si="45"/>
        <v>26.098785270843763</v>
      </c>
      <c r="AW45" s="37">
        <f t="shared" si="46"/>
        <v>6.5495841729969522</v>
      </c>
      <c r="AX45" s="40">
        <f t="shared" si="9"/>
        <v>529.26441990099056</v>
      </c>
      <c r="AY45" s="2">
        <f t="shared" si="57"/>
        <v>6.8066886943626637</v>
      </c>
      <c r="AZ45" s="2">
        <f t="shared" si="47"/>
        <v>752.89039783761177</v>
      </c>
      <c r="BA45" s="2">
        <f t="shared" si="48"/>
        <v>748.12721184318661</v>
      </c>
      <c r="BB45" s="44">
        <f t="shared" si="60"/>
        <v>748.12721184318661</v>
      </c>
      <c r="BC45">
        <f t="shared" si="49"/>
        <v>138</v>
      </c>
      <c r="BD45" s="2">
        <f t="shared" si="50"/>
        <v>32.152949063304312</v>
      </c>
      <c r="BE45" s="2">
        <f t="shared" si="51"/>
        <v>598.50176947454929</v>
      </c>
      <c r="BF45" s="2">
        <f t="shared" si="10"/>
        <v>24.648066891454022</v>
      </c>
      <c r="BG45" s="24">
        <f t="shared" si="61"/>
        <v>0.7665880614224746</v>
      </c>
    </row>
    <row r="46" spans="1:59" x14ac:dyDescent="0.25">
      <c r="A46">
        <f t="shared" si="12"/>
        <v>144</v>
      </c>
      <c r="B46">
        <v>2.4</v>
      </c>
      <c r="C46" s="2">
        <f t="shared" si="58"/>
        <v>748.12721184318661</v>
      </c>
      <c r="D46" s="2">
        <f t="shared" si="13"/>
        <v>20.015185661423008</v>
      </c>
      <c r="E46" s="2">
        <f t="shared" si="14"/>
        <v>732.62071359858896</v>
      </c>
      <c r="F46" s="25">
        <f t="shared" si="15"/>
        <v>8.6151340144086088</v>
      </c>
      <c r="G46">
        <f t="shared" si="16"/>
        <v>2.969940058704714E-5</v>
      </c>
      <c r="H46">
        <f t="shared" si="17"/>
        <v>5.1779324785354698E-5</v>
      </c>
      <c r="I46" s="51">
        <f t="shared" si="59"/>
        <v>3.1604688544058023E-5</v>
      </c>
      <c r="J46" s="28">
        <f t="shared" si="52"/>
        <v>0.25353997043386012</v>
      </c>
      <c r="K46" s="24">
        <f t="shared" si="53"/>
        <v>6.2469041894382737</v>
      </c>
      <c r="L46" s="33">
        <f t="shared" si="54"/>
        <v>8.7222392537041795</v>
      </c>
      <c r="M46" s="39">
        <f t="shared" si="55"/>
        <v>766.71209935171453</v>
      </c>
      <c r="N46" s="40">
        <f t="shared" si="18"/>
        <v>362.56048249493097</v>
      </c>
      <c r="O46" s="32">
        <f t="shared" si="19"/>
        <v>749.76485067559724</v>
      </c>
      <c r="P46" s="32">
        <f t="shared" si="20"/>
        <v>20.51300418050775</v>
      </c>
      <c r="Q46" s="33">
        <f t="shared" si="21"/>
        <v>6.2379384142458925</v>
      </c>
      <c r="R46" s="33">
        <f t="shared" si="22"/>
        <v>8.7167791717555225</v>
      </c>
      <c r="S46" s="39">
        <f t="shared" si="23"/>
        <v>748.71146263131686</v>
      </c>
      <c r="T46" s="36">
        <f t="shared" si="24"/>
        <v>607.62383862137324</v>
      </c>
      <c r="U46" s="36">
        <f t="shared" si="25"/>
        <v>11.432585096930143</v>
      </c>
      <c r="V46" s="37">
        <f t="shared" si="26"/>
        <v>9.0705920705844711</v>
      </c>
      <c r="W46" s="40">
        <f t="shared" si="3"/>
        <v>1053.5138433403865</v>
      </c>
      <c r="X46" s="32">
        <f t="shared" si="27"/>
        <v>733.13715849335608</v>
      </c>
      <c r="Y46" s="32">
        <f t="shared" si="28"/>
        <v>20.030717730925424</v>
      </c>
      <c r="Z46" s="33">
        <f t="shared" si="29"/>
        <v>6.2464604650596192</v>
      </c>
      <c r="AA46" s="33">
        <f t="shared" si="30"/>
        <v>8.7219693820321922</v>
      </c>
      <c r="AB46" s="39">
        <f t="shared" si="4"/>
        <v>766.14829735884837</v>
      </c>
      <c r="AC46" s="36">
        <f t="shared" si="31"/>
        <v>1247.4751675018383</v>
      </c>
      <c r="AD46" s="36">
        <f t="shared" si="32"/>
        <v>29.176289824432722</v>
      </c>
      <c r="AE46" s="37">
        <f t="shared" si="33"/>
        <v>7.2970465954365862</v>
      </c>
      <c r="AF46" s="40">
        <f t="shared" si="5"/>
        <v>460.25539001679311</v>
      </c>
      <c r="AG46" s="32">
        <f t="shared" si="34"/>
        <v>749.22270325919021</v>
      </c>
      <c r="AH46" s="32">
        <f t="shared" si="35"/>
        <v>20.497788271777551</v>
      </c>
      <c r="AI46" s="33">
        <f t="shared" si="36"/>
        <v>6.2380550190349213</v>
      </c>
      <c r="AJ46" s="33">
        <f t="shared" si="37"/>
        <v>8.7168502793981872</v>
      </c>
      <c r="AK46" s="39">
        <f t="shared" si="6"/>
        <v>749.25935218498012</v>
      </c>
      <c r="AL46" s="36">
        <f t="shared" si="38"/>
        <v>612.40058427229485</v>
      </c>
      <c r="AM46" s="36">
        <f t="shared" si="39"/>
        <v>13.292260199207426</v>
      </c>
      <c r="AN46" s="37">
        <f t="shared" si="40"/>
        <v>7.8628870467723093</v>
      </c>
      <c r="AO46" s="40">
        <f t="shared" si="7"/>
        <v>973.22365165145175</v>
      </c>
      <c r="AP46" s="32">
        <f t="shared" si="56"/>
        <v>733.62277141906964</v>
      </c>
      <c r="AQ46" s="32">
        <f t="shared" si="41"/>
        <v>20.045290099027056</v>
      </c>
      <c r="AR46" s="33">
        <f t="shared" si="42"/>
        <v>6.2460539637453403</v>
      </c>
      <c r="AS46" s="33">
        <f t="shared" si="43"/>
        <v>8.721722117076002</v>
      </c>
      <c r="AT46" s="39">
        <f t="shared" si="8"/>
        <v>765.61944887124571</v>
      </c>
      <c r="AU46" s="36">
        <f t="shared" si="44"/>
        <v>1057.6225684403846</v>
      </c>
      <c r="AV46" s="36">
        <f t="shared" si="45"/>
        <v>26.565296151915661</v>
      </c>
      <c r="AW46" s="37">
        <f t="shared" si="46"/>
        <v>6.7945597549718695</v>
      </c>
      <c r="AX46" s="40">
        <f t="shared" si="9"/>
        <v>523.85028475029821</v>
      </c>
      <c r="AY46" s="2">
        <f t="shared" si="57"/>
        <v>6.9991991662313762</v>
      </c>
      <c r="AZ46" s="2">
        <f t="shared" si="47"/>
        <v>757.43464026159768</v>
      </c>
      <c r="BA46" s="2">
        <f t="shared" si="48"/>
        <v>752.71079243973236</v>
      </c>
      <c r="BB46" s="44">
        <f t="shared" si="60"/>
        <v>752.71079243973236</v>
      </c>
      <c r="BC46">
        <f t="shared" si="49"/>
        <v>144</v>
      </c>
      <c r="BD46" s="2">
        <f t="shared" si="50"/>
        <v>31.604688544058025</v>
      </c>
      <c r="BE46" s="2">
        <f t="shared" si="51"/>
        <v>602.16863395178586</v>
      </c>
      <c r="BF46" s="2">
        <f t="shared" si="10"/>
        <v>23.892265634666185</v>
      </c>
      <c r="BG46" s="24">
        <f t="shared" si="61"/>
        <v>0.75597219068808552</v>
      </c>
    </row>
    <row r="47" spans="1:59" x14ac:dyDescent="0.25">
      <c r="A47">
        <f t="shared" si="12"/>
        <v>150</v>
      </c>
      <c r="B47">
        <v>2.5</v>
      </c>
      <c r="C47" s="2">
        <f t="shared" si="58"/>
        <v>752.71079243973236</v>
      </c>
      <c r="D47" s="2">
        <f t="shared" si="13"/>
        <v>20.137243596776969</v>
      </c>
      <c r="E47" s="2">
        <f t="shared" si="14"/>
        <v>736.71114380758604</v>
      </c>
      <c r="F47" s="25">
        <f t="shared" si="15"/>
        <v>8.9695044495325895</v>
      </c>
      <c r="G47">
        <f t="shared" si="16"/>
        <v>2.9106801099621364E-5</v>
      </c>
      <c r="H47">
        <f t="shared" si="17"/>
        <v>5.0746159107915521E-5</v>
      </c>
      <c r="I47" s="51">
        <f t="shared" si="59"/>
        <v>3.1088105705338428E-5</v>
      </c>
      <c r="J47" s="28">
        <f t="shared" si="52"/>
        <v>0.24948467326970181</v>
      </c>
      <c r="K47" s="24">
        <f t="shared" si="53"/>
        <v>6.3975546177131202</v>
      </c>
      <c r="L47" s="33">
        <f t="shared" si="54"/>
        <v>8.8117600699030092</v>
      </c>
      <c r="M47" s="39">
        <f t="shared" si="55"/>
        <v>770.55497590821483</v>
      </c>
      <c r="N47" s="40">
        <f t="shared" si="18"/>
        <v>364.99901209541616</v>
      </c>
      <c r="O47" s="32">
        <f t="shared" si="19"/>
        <v>753.49753476747048</v>
      </c>
      <c r="P47" s="32">
        <f t="shared" si="20"/>
        <v>20.616905537464056</v>
      </c>
      <c r="Q47" s="33">
        <f t="shared" si="21"/>
        <v>6.3910930614371706</v>
      </c>
      <c r="R47" s="33">
        <f t="shared" si="22"/>
        <v>8.8080058466690083</v>
      </c>
      <c r="S47" s="39">
        <f t="shared" si="23"/>
        <v>753.06760100480301</v>
      </c>
      <c r="T47" s="36">
        <f t="shared" si="24"/>
        <v>607.67311345438031</v>
      </c>
      <c r="U47" s="36">
        <f t="shared" si="25"/>
        <v>11.47640222168004</v>
      </c>
      <c r="V47" s="37">
        <f t="shared" si="26"/>
        <v>9.2593616549023778</v>
      </c>
      <c r="W47" s="40">
        <f t="shared" si="3"/>
        <v>1064.7126769260599</v>
      </c>
      <c r="X47" s="32">
        <f t="shared" si="27"/>
        <v>737.03330755442062</v>
      </c>
      <c r="Y47" s="32">
        <f t="shared" si="28"/>
        <v>20.146764932718213</v>
      </c>
      <c r="Z47" s="33">
        <f t="shared" si="29"/>
        <v>6.3973274695447744</v>
      </c>
      <c r="AA47" s="33">
        <f t="shared" si="30"/>
        <v>8.8116282234541305</v>
      </c>
      <c r="AB47" s="39">
        <f t="shared" si="4"/>
        <v>770.2066351131117</v>
      </c>
      <c r="AC47" s="36">
        <f t="shared" si="31"/>
        <v>1277.5994692340582</v>
      </c>
      <c r="AD47" s="36">
        <f t="shared" si="32"/>
        <v>29.551945032772942</v>
      </c>
      <c r="AE47" s="37">
        <f t="shared" si="33"/>
        <v>7.5600634269011158</v>
      </c>
      <c r="AF47" s="40">
        <f t="shared" si="5"/>
        <v>457.59357673673497</v>
      </c>
      <c r="AG47" s="32">
        <f t="shared" si="34"/>
        <v>753.1564852160202</v>
      </c>
      <c r="AH47" s="32">
        <f t="shared" si="35"/>
        <v>20.607473677460092</v>
      </c>
      <c r="AI47" s="33">
        <f t="shared" si="36"/>
        <v>6.3911241354635253</v>
      </c>
      <c r="AJ47" s="33">
        <f t="shared" si="37"/>
        <v>8.8080239191304806</v>
      </c>
      <c r="AK47" s="39">
        <f t="shared" si="6"/>
        <v>753.41015616756033</v>
      </c>
      <c r="AL47" s="36">
        <f t="shared" si="38"/>
        <v>612.1542008666114</v>
      </c>
      <c r="AM47" s="36">
        <f t="shared" si="39"/>
        <v>13.238757996026781</v>
      </c>
      <c r="AN47" s="37">
        <f t="shared" si="40"/>
        <v>8.0859374512311337</v>
      </c>
      <c r="AO47" s="40">
        <f t="shared" si="7"/>
        <v>987.68004034728915</v>
      </c>
      <c r="AP47" s="32">
        <f t="shared" si="56"/>
        <v>737.34311290773553</v>
      </c>
      <c r="AQ47" s="32">
        <f t="shared" si="41"/>
        <v>20.155908603829431</v>
      </c>
      <c r="AR47" s="33">
        <f t="shared" si="42"/>
        <v>6.3971131794269214</v>
      </c>
      <c r="AS47" s="33">
        <f t="shared" si="43"/>
        <v>8.8115038317693131</v>
      </c>
      <c r="AT47" s="39">
        <f t="shared" si="8"/>
        <v>769.87215341883064</v>
      </c>
      <c r="AU47" s="36">
        <f t="shared" si="44"/>
        <v>1088.5465507694562</v>
      </c>
      <c r="AV47" s="36">
        <f t="shared" si="45"/>
        <v>27.024750851735114</v>
      </c>
      <c r="AW47" s="37">
        <f t="shared" si="46"/>
        <v>7.0437201667107825</v>
      </c>
      <c r="AX47" s="40">
        <f t="shared" si="9"/>
        <v>518.40115888654134</v>
      </c>
      <c r="AY47" s="2">
        <f t="shared" si="57"/>
        <v>7.1907175682022251</v>
      </c>
      <c r="AZ47" s="2">
        <f t="shared" si="47"/>
        <v>761.63913642607645</v>
      </c>
      <c r="BA47" s="2">
        <f t="shared" si="48"/>
        <v>757.09686322415632</v>
      </c>
      <c r="BB47" s="44">
        <f t="shared" si="60"/>
        <v>757.09686322415632</v>
      </c>
      <c r="BC47">
        <f t="shared" si="49"/>
        <v>150</v>
      </c>
      <c r="BD47" s="2">
        <f t="shared" si="50"/>
        <v>31.088105705338428</v>
      </c>
      <c r="BE47" s="2">
        <f t="shared" si="51"/>
        <v>605.67749057932508</v>
      </c>
      <c r="BF47" s="2">
        <f t="shared" si="10"/>
        <v>23.186657131403077</v>
      </c>
      <c r="BG47" s="24">
        <f t="shared" si="61"/>
        <v>0.74583692397254941</v>
      </c>
    </row>
    <row r="48" spans="1:59" x14ac:dyDescent="0.25">
      <c r="A48">
        <f t="shared" si="12"/>
        <v>156</v>
      </c>
      <c r="B48">
        <v>2.6</v>
      </c>
      <c r="C48" s="2">
        <f t="shared" si="58"/>
        <v>757.09686322415632</v>
      </c>
      <c r="D48" s="2">
        <f t="shared" si="13"/>
        <v>20.254482592264413</v>
      </c>
      <c r="E48" s="2">
        <f t="shared" si="14"/>
        <v>740.70915390369237</v>
      </c>
      <c r="F48" s="25">
        <f t="shared" si="15"/>
        <v>9.3246197732049332</v>
      </c>
      <c r="G48">
        <f t="shared" si="16"/>
        <v>2.8547174982912098E-5</v>
      </c>
      <c r="H48">
        <f t="shared" si="17"/>
        <v>4.9770480747992874E-5</v>
      </c>
      <c r="I48" s="51">
        <f t="shared" si="59"/>
        <v>3.0600266525377111E-5</v>
      </c>
      <c r="J48" s="28">
        <f t="shared" si="52"/>
        <v>0.24563983538983694</v>
      </c>
      <c r="K48" s="24">
        <f t="shared" si="53"/>
        <v>6.5464768073113984</v>
      </c>
      <c r="L48" s="33">
        <f t="shared" si="54"/>
        <v>8.8962002107205365</v>
      </c>
      <c r="M48" s="39">
        <f t="shared" si="55"/>
        <v>773.96089710907711</v>
      </c>
      <c r="N48" s="40">
        <f t="shared" si="18"/>
        <v>367.33474602479248</v>
      </c>
      <c r="O48" s="32">
        <f t="shared" si="19"/>
        <v>756.86065649147451</v>
      </c>
      <c r="P48" s="32">
        <f t="shared" si="20"/>
        <v>20.709269276454677</v>
      </c>
      <c r="Q48" s="33">
        <f t="shared" si="21"/>
        <v>6.5423267420461624</v>
      </c>
      <c r="R48" s="33">
        <f t="shared" si="22"/>
        <v>8.8939007454316439</v>
      </c>
      <c r="S48" s="39">
        <f t="shared" si="23"/>
        <v>757.24869105559196</v>
      </c>
      <c r="T48" s="36">
        <f t="shared" si="24"/>
        <v>607.72189761933919</v>
      </c>
      <c r="U48" s="36">
        <f t="shared" si="25"/>
        <v>11.518497141098969</v>
      </c>
      <c r="V48" s="37">
        <f t="shared" si="26"/>
        <v>9.4447429299192311</v>
      </c>
      <c r="W48" s="40">
        <f t="shared" si="3"/>
        <v>1075.5388101522587</v>
      </c>
      <c r="X48" s="32">
        <f t="shared" si="27"/>
        <v>740.84902766996902</v>
      </c>
      <c r="Y48" s="32">
        <f t="shared" si="28"/>
        <v>20.258548643346479</v>
      </c>
      <c r="Z48" s="33">
        <f t="shared" si="29"/>
        <v>6.5463988506845308</v>
      </c>
      <c r="AA48" s="33">
        <f t="shared" si="30"/>
        <v>8.8961570446679694</v>
      </c>
      <c r="AB48" s="39">
        <f t="shared" si="4"/>
        <v>773.81101705995707</v>
      </c>
      <c r="AC48" s="36">
        <f t="shared" si="31"/>
        <v>1307.6109455561427</v>
      </c>
      <c r="AD48" s="36">
        <f t="shared" si="32"/>
        <v>29.917768915705032</v>
      </c>
      <c r="AE48" s="37">
        <f t="shared" si="33"/>
        <v>7.8240284165509983</v>
      </c>
      <c r="AF48" s="40">
        <f t="shared" si="5"/>
        <v>454.95931671745836</v>
      </c>
      <c r="AG48" s="32">
        <f t="shared" si="34"/>
        <v>756.71156947228553</v>
      </c>
      <c r="AH48" s="32">
        <f t="shared" si="35"/>
        <v>20.70519927691047</v>
      </c>
      <c r="AI48" s="33">
        <f t="shared" si="36"/>
        <v>6.5423237943373023</v>
      </c>
      <c r="AJ48" s="33">
        <f t="shared" si="37"/>
        <v>8.8938991110832148</v>
      </c>
      <c r="AK48" s="39">
        <f t="shared" si="6"/>
        <v>757.39774471838621</v>
      </c>
      <c r="AL48" s="36">
        <f t="shared" si="38"/>
        <v>611.91898276981681</v>
      </c>
      <c r="AM48" s="36">
        <f t="shared" si="39"/>
        <v>13.185965864687228</v>
      </c>
      <c r="AN48" s="37">
        <f t="shared" si="40"/>
        <v>8.3073604404525305</v>
      </c>
      <c r="AO48" s="40">
        <f t="shared" si="7"/>
        <v>1001.7826406564302</v>
      </c>
      <c r="AP48" s="32">
        <f t="shared" si="56"/>
        <v>740.98644232199445</v>
      </c>
      <c r="AQ48" s="32">
        <f t="shared" si="41"/>
        <v>20.262540902624927</v>
      </c>
      <c r="AR48" s="33">
        <f t="shared" si="42"/>
        <v>6.5463230403285104</v>
      </c>
      <c r="AS48" s="33">
        <f t="shared" si="43"/>
        <v>8.8961150660143176</v>
      </c>
      <c r="AT48" s="39">
        <f t="shared" si="8"/>
        <v>773.66386441142663</v>
      </c>
      <c r="AU48" s="36">
        <f t="shared" si="44"/>
        <v>1120.0574085232709</v>
      </c>
      <c r="AV48" s="36">
        <f t="shared" si="45"/>
        <v>27.477472273396536</v>
      </c>
      <c r="AW48" s="37">
        <f t="shared" si="46"/>
        <v>7.2970039262911737</v>
      </c>
      <c r="AX48" s="40">
        <f t="shared" si="9"/>
        <v>512.9415828880891</v>
      </c>
      <c r="AY48" s="2">
        <f t="shared" si="57"/>
        <v>7.3813135175763058</v>
      </c>
      <c r="AZ48" s="2">
        <f t="shared" si="47"/>
        <v>765.53032931134044</v>
      </c>
      <c r="BA48" s="2">
        <f t="shared" si="48"/>
        <v>761.30558760355916</v>
      </c>
      <c r="BB48" s="44">
        <f t="shared" si="60"/>
        <v>761.30558760355916</v>
      </c>
      <c r="BC48">
        <f t="shared" si="49"/>
        <v>156</v>
      </c>
      <c r="BD48" s="2">
        <f t="shared" si="50"/>
        <v>30.600266525377112</v>
      </c>
      <c r="BE48" s="2">
        <f t="shared" si="51"/>
        <v>609.0444700828474</v>
      </c>
      <c r="BF48" s="2">
        <f t="shared" si="10"/>
        <v>22.526222980147203</v>
      </c>
      <c r="BG48" s="24">
        <f t="shared" si="61"/>
        <v>0.73614466597753248</v>
      </c>
    </row>
    <row r="49" spans="1:59" x14ac:dyDescent="0.25">
      <c r="A49">
        <f t="shared" si="12"/>
        <v>162</v>
      </c>
      <c r="B49">
        <v>2.7</v>
      </c>
      <c r="C49" s="2">
        <f t="shared" si="58"/>
        <v>761.30558760355916</v>
      </c>
      <c r="D49" s="2">
        <f t="shared" si="13"/>
        <v>20.367386284690639</v>
      </c>
      <c r="E49" s="2">
        <f t="shared" si="14"/>
        <v>744.62341101393122</v>
      </c>
      <c r="F49" s="25">
        <f t="shared" si="15"/>
        <v>9.6804684907937446</v>
      </c>
      <c r="G49">
        <f t="shared" si="16"/>
        <v>2.8017573191385831E-5</v>
      </c>
      <c r="H49">
        <f t="shared" si="17"/>
        <v>4.8847148201601214E-5</v>
      </c>
      <c r="I49" s="51">
        <f t="shared" si="59"/>
        <v>3.0138600252181278E-5</v>
      </c>
      <c r="J49" s="28">
        <f t="shared" si="52"/>
        <v>0.2419873703226674</v>
      </c>
      <c r="K49" s="24">
        <f t="shared" si="53"/>
        <v>6.6937693959036348</v>
      </c>
      <c r="L49" s="33">
        <f t="shared" si="54"/>
        <v>8.9758546941227131</v>
      </c>
      <c r="M49" s="39">
        <f t="shared" si="55"/>
        <v>776.95764319749787</v>
      </c>
      <c r="N49" s="40">
        <f t="shared" si="18"/>
        <v>369.57333189699847</v>
      </c>
      <c r="O49" s="32">
        <f t="shared" si="19"/>
        <v>759.86271875686487</v>
      </c>
      <c r="P49" s="32">
        <f t="shared" si="20"/>
        <v>20.790751664617147</v>
      </c>
      <c r="Q49" s="33">
        <f t="shared" si="21"/>
        <v>6.6916667810620432</v>
      </c>
      <c r="R49" s="33">
        <f t="shared" si="22"/>
        <v>8.9747441659323002</v>
      </c>
      <c r="S49" s="39">
        <f t="shared" si="23"/>
        <v>761.28129049235554</v>
      </c>
      <c r="T49" s="36">
        <f t="shared" si="24"/>
        <v>607.77023238398419</v>
      </c>
      <c r="U49" s="36">
        <f t="shared" si="25"/>
        <v>11.558955932902354</v>
      </c>
      <c r="V49" s="37">
        <f t="shared" si="26"/>
        <v>9.6269823958019991</v>
      </c>
      <c r="W49" s="40">
        <f t="shared" si="3"/>
        <v>1086.0194359582454</v>
      </c>
      <c r="X49" s="32">
        <f t="shared" si="27"/>
        <v>744.60059342662601</v>
      </c>
      <c r="Y49" s="32">
        <f t="shared" si="28"/>
        <v>20.366733349076441</v>
      </c>
      <c r="Z49" s="33">
        <f t="shared" si="29"/>
        <v>6.693778866387329</v>
      </c>
      <c r="AA49" s="33">
        <f t="shared" si="30"/>
        <v>8.9758596943796753</v>
      </c>
      <c r="AB49" s="39">
        <f t="shared" si="4"/>
        <v>776.98188517604058</v>
      </c>
      <c r="AC49" s="36">
        <f t="shared" si="31"/>
        <v>1337.5102804136632</v>
      </c>
      <c r="AD49" s="36">
        <f t="shared" si="32"/>
        <v>30.274418872235501</v>
      </c>
      <c r="AE49" s="37">
        <f t="shared" si="33"/>
        <v>8.088922487876367</v>
      </c>
      <c r="AF49" s="40">
        <f t="shared" si="5"/>
        <v>452.35577819554572</v>
      </c>
      <c r="AG49" s="32">
        <f t="shared" si="34"/>
        <v>759.88716857038253</v>
      </c>
      <c r="AH49" s="32">
        <f t="shared" si="35"/>
        <v>20.791411631215915</v>
      </c>
      <c r="AI49" s="33">
        <f t="shared" si="36"/>
        <v>6.6916696807500138</v>
      </c>
      <c r="AJ49" s="33">
        <f t="shared" si="37"/>
        <v>8.9747456979716489</v>
      </c>
      <c r="AK49" s="39">
        <f t="shared" si="6"/>
        <v>761.25692577297093</v>
      </c>
      <c r="AL49" s="36">
        <f t="shared" si="38"/>
        <v>611.69474440330782</v>
      </c>
      <c r="AM49" s="36">
        <f t="shared" si="39"/>
        <v>13.133942142629515</v>
      </c>
      <c r="AN49" s="37">
        <f t="shared" si="40"/>
        <v>8.5272502958134169</v>
      </c>
      <c r="AO49" s="40">
        <f t="shared" si="7"/>
        <v>1015.5508882266763</v>
      </c>
      <c r="AP49" s="32">
        <f t="shared" si="56"/>
        <v>744.57771492719576</v>
      </c>
      <c r="AQ49" s="32">
        <f t="shared" si="41"/>
        <v>20.366078609908499</v>
      </c>
      <c r="AR49" s="33">
        <f t="shared" si="42"/>
        <v>6.6937883826555664</v>
      </c>
      <c r="AS49" s="33">
        <f t="shared" si="43"/>
        <v>8.9758647187945382</v>
      </c>
      <c r="AT49" s="39">
        <f t="shared" si="8"/>
        <v>777.00619429664687</v>
      </c>
      <c r="AU49" s="36">
        <f t="shared" si="44"/>
        <v>1152.1291694495635</v>
      </c>
      <c r="AV49" s="36">
        <f t="shared" si="45"/>
        <v>27.923758116059467</v>
      </c>
      <c r="AW49" s="37">
        <f t="shared" si="46"/>
        <v>7.5543423997774228</v>
      </c>
      <c r="AX49" s="40">
        <f t="shared" si="9"/>
        <v>507.49187616804039</v>
      </c>
      <c r="AY49" s="2">
        <f t="shared" si="57"/>
        <v>7.5710501612655179</v>
      </c>
      <c r="AZ49" s="2">
        <f t="shared" si="47"/>
        <v>769.13157393450342</v>
      </c>
      <c r="BA49" s="2">
        <f t="shared" si="48"/>
        <v>765.35449463712689</v>
      </c>
      <c r="BB49" s="44">
        <f t="shared" si="60"/>
        <v>765.35449463712689</v>
      </c>
      <c r="BC49">
        <f t="shared" si="49"/>
        <v>162</v>
      </c>
      <c r="BD49" s="2">
        <f t="shared" si="50"/>
        <v>30.138600252181277</v>
      </c>
      <c r="BE49" s="2">
        <f t="shared" si="51"/>
        <v>612.28359570970156</v>
      </c>
      <c r="BF49" s="2">
        <f t="shared" si="10"/>
        <v>21.906601699736807</v>
      </c>
      <c r="BG49" s="24">
        <f t="shared" si="61"/>
        <v>0.72686194834650031</v>
      </c>
    </row>
    <row r="50" spans="1:59" x14ac:dyDescent="0.25">
      <c r="A50">
        <f t="shared" si="12"/>
        <v>168</v>
      </c>
      <c r="B50">
        <v>2.8</v>
      </c>
      <c r="C50" s="2">
        <f t="shared" si="58"/>
        <v>765.35449463712689</v>
      </c>
      <c r="D50" s="2">
        <f t="shared" si="13"/>
        <v>20.476377164902608</v>
      </c>
      <c r="E50" s="2">
        <f t="shared" si="14"/>
        <v>748.46175982836291</v>
      </c>
      <c r="F50" s="25">
        <f t="shared" si="15"/>
        <v>10.037042260632891</v>
      </c>
      <c r="G50">
        <f t="shared" si="16"/>
        <v>2.7515399743132906E-5</v>
      </c>
      <c r="H50">
        <f t="shared" si="17"/>
        <v>4.7971635512398652E-5</v>
      </c>
      <c r="I50" s="51">
        <f t="shared" si="59"/>
        <v>2.9700843907579997E-5</v>
      </c>
      <c r="J50" s="28">
        <f t="shared" si="52"/>
        <v>0.23851129437883167</v>
      </c>
      <c r="K50" s="24">
        <f t="shared" si="53"/>
        <v>6.8395233218606117</v>
      </c>
      <c r="L50" s="33">
        <f t="shared" si="54"/>
        <v>9.0509961205590255</v>
      </c>
      <c r="M50" s="39">
        <f t="shared" si="55"/>
        <v>779.57071580182946</v>
      </c>
      <c r="N50" s="40">
        <f t="shared" si="18"/>
        <v>371.71987070525859</v>
      </c>
      <c r="O50" s="32">
        <f t="shared" si="19"/>
        <v>762.5134846479782</v>
      </c>
      <c r="P50" s="32">
        <f t="shared" si="20"/>
        <v>20.861966039654668</v>
      </c>
      <c r="Q50" s="33">
        <f t="shared" si="21"/>
        <v>6.8391421898592597</v>
      </c>
      <c r="R50" s="33">
        <f t="shared" si="22"/>
        <v>9.050804322643339</v>
      </c>
      <c r="S50" s="39">
        <f t="shared" si="23"/>
        <v>765.18844219613538</v>
      </c>
      <c r="T50" s="36">
        <f t="shared" si="24"/>
        <v>607.81813991453441</v>
      </c>
      <c r="U50" s="36">
        <f t="shared" si="25"/>
        <v>11.597856547829544</v>
      </c>
      <c r="V50" s="37">
        <f t="shared" si="26"/>
        <v>9.8063019858101761</v>
      </c>
      <c r="W50" s="40">
        <f t="shared" si="3"/>
        <v>1096.1789210753905</v>
      </c>
      <c r="X50" s="32">
        <f t="shared" si="27"/>
        <v>748.30293131822191</v>
      </c>
      <c r="Y50" s="32">
        <f t="shared" si="28"/>
        <v>20.471900045556197</v>
      </c>
      <c r="Z50" s="33">
        <f t="shared" si="29"/>
        <v>6.8395673878837737</v>
      </c>
      <c r="AA50" s="33">
        <f t="shared" si="30"/>
        <v>9.0510182944317048</v>
      </c>
      <c r="AB50" s="39">
        <f t="shared" si="4"/>
        <v>779.73809121156285</v>
      </c>
      <c r="AC50" s="36">
        <f t="shared" si="31"/>
        <v>1367.2988327428552</v>
      </c>
      <c r="AD50" s="36">
        <f t="shared" si="32"/>
        <v>30.622489147472415</v>
      </c>
      <c r="AE50" s="37">
        <f t="shared" si="33"/>
        <v>8.3547275588105521</v>
      </c>
      <c r="AF50" s="40">
        <f t="shared" si="5"/>
        <v>449.78521474308189</v>
      </c>
      <c r="AG50" s="32">
        <f t="shared" si="34"/>
        <v>762.68432851956845</v>
      </c>
      <c r="AH50" s="32">
        <f t="shared" si="35"/>
        <v>20.866532753623567</v>
      </c>
      <c r="AI50" s="33">
        <f t="shared" si="36"/>
        <v>6.8391774184695793</v>
      </c>
      <c r="AJ50" s="33">
        <f t="shared" si="37"/>
        <v>9.0508220518383062</v>
      </c>
      <c r="AK50" s="39">
        <f t="shared" si="6"/>
        <v>765.01853595050318</v>
      </c>
      <c r="AL50" s="36">
        <f t="shared" si="38"/>
        <v>611.48120186717961</v>
      </c>
      <c r="AM50" s="36">
        <f t="shared" si="39"/>
        <v>13.082726290073644</v>
      </c>
      <c r="AN50" s="37">
        <f t="shared" si="40"/>
        <v>8.7456923087961336</v>
      </c>
      <c r="AO50" s="40">
        <f t="shared" si="7"/>
        <v>1029.0025678847594</v>
      </c>
      <c r="AP50" s="32">
        <f t="shared" si="56"/>
        <v>748.14054197627661</v>
      </c>
      <c r="AQ50" s="32">
        <f t="shared" si="41"/>
        <v>20.467319658929874</v>
      </c>
      <c r="AR50" s="33">
        <f t="shared" si="42"/>
        <v>6.8396134285904013</v>
      </c>
      <c r="AS50" s="33">
        <f t="shared" si="43"/>
        <v>9.0510414616104455</v>
      </c>
      <c r="AT50" s="39">
        <f t="shared" si="8"/>
        <v>779.90933529860956</v>
      </c>
      <c r="AU50" s="36">
        <f t="shared" si="44"/>
        <v>1184.737451777381</v>
      </c>
      <c r="AV50" s="36">
        <f t="shared" si="45"/>
        <v>28.363883605418742</v>
      </c>
      <c r="AW50" s="37">
        <f t="shared" si="46"/>
        <v>7.8156618635920729</v>
      </c>
      <c r="AX50" s="40">
        <f t="shared" si="9"/>
        <v>502.06880181811192</v>
      </c>
      <c r="AY50" s="2">
        <f t="shared" si="57"/>
        <v>7.7599855177264931</v>
      </c>
      <c r="AZ50" s="2">
        <f t="shared" si="47"/>
        <v>772.46360116420271</v>
      </c>
      <c r="BA50" s="2">
        <f t="shared" si="48"/>
        <v>769.25887638033601</v>
      </c>
      <c r="BB50" s="44">
        <f t="shared" si="60"/>
        <v>769.25887638033601</v>
      </c>
      <c r="BC50">
        <f t="shared" si="49"/>
        <v>168</v>
      </c>
      <c r="BD50" s="2">
        <f t="shared" si="50"/>
        <v>29.700843907579998</v>
      </c>
      <c r="BE50" s="2">
        <f t="shared" si="51"/>
        <v>615.4071011042688</v>
      </c>
      <c r="BF50" s="2">
        <f t="shared" si="10"/>
        <v>21.323983099468407</v>
      </c>
      <c r="BG50" s="24">
        <f t="shared" si="61"/>
        <v>0.71795882857140902</v>
      </c>
    </row>
    <row r="51" spans="1:59" x14ac:dyDescent="0.25">
      <c r="A51">
        <f t="shared" si="12"/>
        <v>174</v>
      </c>
      <c r="B51">
        <v>2.9</v>
      </c>
      <c r="C51" s="2">
        <f t="shared" si="58"/>
        <v>769.25887638033601</v>
      </c>
      <c r="D51" s="2">
        <f t="shared" si="13"/>
        <v>20.581825417622198</v>
      </c>
      <c r="E51" s="2">
        <f t="shared" si="14"/>
        <v>752.23129154538333</v>
      </c>
      <c r="F51" s="25">
        <f t="shared" si="15"/>
        <v>10.394335455558158</v>
      </c>
      <c r="G51">
        <f t="shared" si="16"/>
        <v>2.7038359534611787E-5</v>
      </c>
      <c r="H51">
        <f t="shared" si="17"/>
        <v>4.7139941289470086E-5</v>
      </c>
      <c r="I51" s="51">
        <f t="shared" si="59"/>
        <v>2.9284996796115714E-5</v>
      </c>
      <c r="J51" s="28">
        <f t="shared" si="52"/>
        <v>0.23519742297024271</v>
      </c>
      <c r="K51" s="24">
        <f t="shared" si="53"/>
        <v>6.9838226501275393</v>
      </c>
      <c r="L51" s="33">
        <f t="shared" si="54"/>
        <v>9.1218771121758397</v>
      </c>
      <c r="M51" s="39">
        <f t="shared" si="55"/>
        <v>781.82363331119006</v>
      </c>
      <c r="N51" s="40">
        <f t="shared" si="18"/>
        <v>373.77900215769432</v>
      </c>
      <c r="O51" s="32">
        <f t="shared" si="19"/>
        <v>764.82376997086089</v>
      </c>
      <c r="P51" s="32">
        <f t="shared" si="20"/>
        <v>20.923487847479684</v>
      </c>
      <c r="Q51" s="33">
        <f t="shared" si="21"/>
        <v>6.9847841981406242</v>
      </c>
      <c r="R51" s="33">
        <f t="shared" si="22"/>
        <v>9.1223379312741155</v>
      </c>
      <c r="S51" s="39">
        <f t="shared" si="23"/>
        <v>768.99010569205211</v>
      </c>
      <c r="T51" s="36">
        <f t="shared" si="24"/>
        <v>607.8656275070299</v>
      </c>
      <c r="U51" s="36">
        <f t="shared" si="25"/>
        <v>11.635270116673379</v>
      </c>
      <c r="V51" s="37">
        <f t="shared" si="26"/>
        <v>9.982902125192707</v>
      </c>
      <c r="W51" s="40">
        <f t="shared" si="3"/>
        <v>1106.0391772197331</v>
      </c>
      <c r="X51" s="32">
        <f t="shared" si="27"/>
        <v>751.9696450197672</v>
      </c>
      <c r="Y51" s="32">
        <f t="shared" si="28"/>
        <v>20.574555603601418</v>
      </c>
      <c r="Z51" s="33">
        <f t="shared" si="29"/>
        <v>6.9838602922071722</v>
      </c>
      <c r="AA51" s="33">
        <f t="shared" si="30"/>
        <v>9.1218951548705824</v>
      </c>
      <c r="AB51" s="39">
        <f t="shared" si="4"/>
        <v>782.09721443273486</v>
      </c>
      <c r="AC51" s="36">
        <f t="shared" si="31"/>
        <v>1396.9784728435952</v>
      </c>
      <c r="AD51" s="36">
        <f t="shared" si="32"/>
        <v>30.962518529600707</v>
      </c>
      <c r="AE51" s="37">
        <f t="shared" si="33"/>
        <v>8.6214265211298589</v>
      </c>
      <c r="AF51" s="40">
        <f t="shared" si="5"/>
        <v>447.24916871421442</v>
      </c>
      <c r="AG51" s="32">
        <f t="shared" si="34"/>
        <v>765.10589162789142</v>
      </c>
      <c r="AH51" s="32">
        <f t="shared" si="35"/>
        <v>20.930966437352019</v>
      </c>
      <c r="AI51" s="33">
        <f t="shared" si="36"/>
        <v>6.9848641165132683</v>
      </c>
      <c r="AJ51" s="33">
        <f t="shared" si="37"/>
        <v>9.122376225132875</v>
      </c>
      <c r="AK51" s="39">
        <f t="shared" si="6"/>
        <v>768.70977867315617</v>
      </c>
      <c r="AL51" s="36">
        <f t="shared" si="38"/>
        <v>611.27800518671768</v>
      </c>
      <c r="AM51" s="36">
        <f t="shared" si="39"/>
        <v>13.032343208627811</v>
      </c>
      <c r="AN51" s="37">
        <f t="shared" si="40"/>
        <v>8.9627639284043266</v>
      </c>
      <c r="AO51" s="40">
        <f t="shared" si="7"/>
        <v>1042.1539996429769</v>
      </c>
      <c r="AP51" s="32">
        <f t="shared" si="56"/>
        <v>751.69708941375291</v>
      </c>
      <c r="AQ51" s="32">
        <f t="shared" si="41"/>
        <v>20.566974933441003</v>
      </c>
      <c r="AR51" s="33">
        <f t="shared" si="42"/>
        <v>6.9839021632774392</v>
      </c>
      <c r="AS51" s="33">
        <f t="shared" si="43"/>
        <v>9.1219152243439616</v>
      </c>
      <c r="AT51" s="39">
        <f t="shared" si="8"/>
        <v>782.3825140790143</v>
      </c>
      <c r="AU51" s="36">
        <f t="shared" si="44"/>
        <v>1217.8593313097381</v>
      </c>
      <c r="AV51" s="36">
        <f t="shared" si="45"/>
        <v>28.798103816978802</v>
      </c>
      <c r="AW51" s="37">
        <f t="shared" si="46"/>
        <v>8.0808851042858905</v>
      </c>
      <c r="AX51" s="40">
        <f t="shared" si="9"/>
        <v>496.68612505862757</v>
      </c>
      <c r="AY51" s="2">
        <f t="shared" si="57"/>
        <v>7.9481735561439111</v>
      </c>
      <c r="AZ51" s="2">
        <f t="shared" si="47"/>
        <v>775.54490321923936</v>
      </c>
      <c r="BA51" s="2">
        <f t="shared" si="48"/>
        <v>773.03211765888796</v>
      </c>
      <c r="BB51" s="44">
        <f t="shared" si="60"/>
        <v>773.03211765888796</v>
      </c>
      <c r="BC51">
        <f t="shared" si="49"/>
        <v>174</v>
      </c>
      <c r="BD51" s="2">
        <f t="shared" si="50"/>
        <v>29.284996796115713</v>
      </c>
      <c r="BE51" s="2">
        <f t="shared" si="51"/>
        <v>618.42569412711043</v>
      </c>
      <c r="BF51" s="2">
        <f t="shared" si="10"/>
        <v>20.775022634448074</v>
      </c>
      <c r="BG51" s="24">
        <f t="shared" si="61"/>
        <v>0.70940839703979819</v>
      </c>
    </row>
    <row r="52" spans="1:59" x14ac:dyDescent="0.25">
      <c r="A52">
        <f t="shared" si="12"/>
        <v>180</v>
      </c>
      <c r="B52">
        <v>3</v>
      </c>
      <c r="C52" s="2">
        <f t="shared" si="58"/>
        <v>773.03211765888796</v>
      </c>
      <c r="D52" s="2">
        <f t="shared" si="13"/>
        <v>20.684056330650751</v>
      </c>
      <c r="E52" s="2">
        <f t="shared" si="14"/>
        <v>755.938410746513</v>
      </c>
      <c r="F52" s="25">
        <f t="shared" si="15"/>
        <v>10.752344773594979</v>
      </c>
      <c r="G52">
        <f t="shared" si="16"/>
        <v>2.6584415260353269E-5</v>
      </c>
      <c r="H52">
        <f t="shared" si="17"/>
        <v>4.6348513599123528E-5</v>
      </c>
      <c r="I52" s="51">
        <f t="shared" si="59"/>
        <v>2.8889282950942435E-5</v>
      </c>
      <c r="J52" s="28">
        <f t="shared" si="52"/>
        <v>0.23203311893563855</v>
      </c>
      <c r="K52" s="24">
        <f t="shared" si="53"/>
        <v>7.1267452802266238</v>
      </c>
      <c r="L52" s="33">
        <f t="shared" si="54"/>
        <v>9.1887324228947769</v>
      </c>
      <c r="M52" s="39">
        <f t="shared" si="55"/>
        <v>783.73817515861526</v>
      </c>
      <c r="N52" s="40">
        <f t="shared" si="18"/>
        <v>375.75497282590914</v>
      </c>
      <c r="O52" s="32">
        <f t="shared" si="19"/>
        <v>766.8052563226853</v>
      </c>
      <c r="P52" s="32">
        <f t="shared" si="20"/>
        <v>20.975858784708315</v>
      </c>
      <c r="Q52" s="33">
        <f t="shared" si="21"/>
        <v>7.1286265872316363</v>
      </c>
      <c r="R52" s="33">
        <f t="shared" si="22"/>
        <v>9.1895906344618261</v>
      </c>
      <c r="S52" s="39">
        <f t="shared" si="23"/>
        <v>772.70352571082344</v>
      </c>
      <c r="T52" s="36">
        <f t="shared" si="24"/>
        <v>607.91269098936448</v>
      </c>
      <c r="U52" s="36">
        <f t="shared" si="25"/>
        <v>11.671261988708505</v>
      </c>
      <c r="V52" s="37">
        <f t="shared" si="26"/>
        <v>10.156964333081227</v>
      </c>
      <c r="W52" s="40">
        <f t="shared" si="3"/>
        <v>1115.6199737128907</v>
      </c>
      <c r="X52" s="32">
        <f t="shared" si="27"/>
        <v>755.61305446334575</v>
      </c>
      <c r="Y52" s="32">
        <f t="shared" si="28"/>
        <v>20.675140895314783</v>
      </c>
      <c r="Z52" s="33">
        <f t="shared" si="29"/>
        <v>7.126749763681576</v>
      </c>
      <c r="AA52" s="33">
        <f t="shared" si="30"/>
        <v>9.1887344688173798</v>
      </c>
      <c r="AB52" s="39">
        <f t="shared" si="4"/>
        <v>784.07581629937556</v>
      </c>
      <c r="AC52" s="36">
        <f t="shared" si="31"/>
        <v>1426.5514516875285</v>
      </c>
      <c r="AD52" s="36">
        <f t="shared" si="32"/>
        <v>31.294996910228676</v>
      </c>
      <c r="AE52" s="37">
        <f t="shared" si="33"/>
        <v>8.8890031971614754</v>
      </c>
      <c r="AF52" s="40">
        <f t="shared" si="5"/>
        <v>444.74862957324245</v>
      </c>
      <c r="AG52" s="32">
        <f t="shared" si="34"/>
        <v>767.1564433074185</v>
      </c>
      <c r="AH52" s="32">
        <f t="shared" si="35"/>
        <v>20.98510323596183</v>
      </c>
      <c r="AI52" s="33">
        <f t="shared" si="36"/>
        <v>7.1287496342870948</v>
      </c>
      <c r="AJ52" s="33">
        <f t="shared" si="37"/>
        <v>9.1896467463081333</v>
      </c>
      <c r="AK52" s="39">
        <f t="shared" si="6"/>
        <v>772.35451538156713</v>
      </c>
      <c r="AL52" s="36">
        <f t="shared" si="38"/>
        <v>611.08476221031503</v>
      </c>
      <c r="AM52" s="36">
        <f t="shared" si="39"/>
        <v>12.982806589690746</v>
      </c>
      <c r="AN52" s="37">
        <f t="shared" si="40"/>
        <v>9.1785357228937094</v>
      </c>
      <c r="AO52" s="40">
        <f t="shared" si="7"/>
        <v>1055.0201982034393</v>
      </c>
      <c r="AP52" s="32">
        <f t="shared" si="56"/>
        <v>755.26800916355319</v>
      </c>
      <c r="AQ52" s="32">
        <f t="shared" si="41"/>
        <v>20.665674112266302</v>
      </c>
      <c r="AR52" s="33">
        <f t="shared" si="42"/>
        <v>7.1267586016512725</v>
      </c>
      <c r="AS52" s="33">
        <f t="shared" si="43"/>
        <v>9.1887385018143117</v>
      </c>
      <c r="AT52" s="39">
        <f t="shared" si="8"/>
        <v>784.43436678152079</v>
      </c>
      <c r="AU52" s="36">
        <f t="shared" si="44"/>
        <v>1251.4732202428754</v>
      </c>
      <c r="AV52" s="36">
        <f t="shared" si="45"/>
        <v>29.226655674870692</v>
      </c>
      <c r="AW52" s="37">
        <f t="shared" si="46"/>
        <v>8.3499326600823451</v>
      </c>
      <c r="AX52" s="40">
        <f t="shared" si="9"/>
        <v>491.35508303054991</v>
      </c>
      <c r="AY52" s="2">
        <f t="shared" si="57"/>
        <v>8.1356650625087923</v>
      </c>
      <c r="AZ52" s="2">
        <f t="shared" si="47"/>
        <v>778.39205604332165</v>
      </c>
      <c r="BA52" s="2">
        <f t="shared" si="48"/>
        <v>776.68597113003057</v>
      </c>
      <c r="BB52" s="44">
        <f t="shared" si="60"/>
        <v>776.68597113003057</v>
      </c>
      <c r="BC52">
        <f t="shared" si="49"/>
        <v>180</v>
      </c>
      <c r="BD52" s="2">
        <f t="shared" si="50"/>
        <v>28.889282950942434</v>
      </c>
      <c r="BE52" s="2">
        <f t="shared" si="51"/>
        <v>621.34877690402448</v>
      </c>
      <c r="BF52" s="2">
        <f t="shared" si="10"/>
        <v>20.25677143437667</v>
      </c>
      <c r="BG52" s="24">
        <f t="shared" si="61"/>
        <v>0.70118636965739745</v>
      </c>
    </row>
    <row r="53" spans="1:59" x14ac:dyDescent="0.25">
      <c r="A53">
        <f t="shared" si="12"/>
        <v>186</v>
      </c>
      <c r="B53">
        <v>3.1</v>
      </c>
      <c r="C53" s="2">
        <f t="shared" si="58"/>
        <v>776.68597113003057</v>
      </c>
      <c r="D53" s="2">
        <f t="shared" si="13"/>
        <v>20.783356531299127</v>
      </c>
      <c r="E53" s="2">
        <f t="shared" si="14"/>
        <v>759.58889886231123</v>
      </c>
      <c r="F53" s="25">
        <f t="shared" si="15"/>
        <v>11.111068894565399</v>
      </c>
      <c r="G53">
        <f t="shared" si="16"/>
        <v>2.6151751616011459E-5</v>
      </c>
      <c r="H53">
        <f t="shared" si="17"/>
        <v>4.559418755481405E-5</v>
      </c>
      <c r="I53" s="51">
        <f t="shared" si="59"/>
        <v>2.8512119928787696E-5</v>
      </c>
      <c r="J53" s="28">
        <f t="shared" si="52"/>
        <v>0.22900708262145425</v>
      </c>
      <c r="K53" s="24">
        <f t="shared" si="53"/>
        <v>7.2683635578569401</v>
      </c>
      <c r="L53" s="33">
        <f t="shared" si="54"/>
        <v>9.2517807739295428</v>
      </c>
      <c r="M53" s="39">
        <f t="shared" si="55"/>
        <v>785.33458548273177</v>
      </c>
      <c r="N53" s="40">
        <f t="shared" si="18"/>
        <v>377.65169101489062</v>
      </c>
      <c r="O53" s="32">
        <f t="shared" si="19"/>
        <v>768.47032271048454</v>
      </c>
      <c r="P53" s="32">
        <f t="shared" si="20"/>
        <v>21.019590234380168</v>
      </c>
      <c r="Q53" s="33">
        <f t="shared" si="21"/>
        <v>7.2707058684621577</v>
      </c>
      <c r="R53" s="33">
        <f t="shared" si="22"/>
        <v>9.2527973275289614</v>
      </c>
      <c r="S53" s="39">
        <f t="shared" si="23"/>
        <v>776.3435492563832</v>
      </c>
      <c r="T53" s="36">
        <f t="shared" si="24"/>
        <v>607.95931746813187</v>
      </c>
      <c r="U53" s="36">
        <f t="shared" si="25"/>
        <v>11.705892562701978</v>
      </c>
      <c r="V53" s="37">
        <f t="shared" si="26"/>
        <v>10.328653447689968</v>
      </c>
      <c r="W53" s="40">
        <f t="shared" si="3"/>
        <v>1124.939202307964</v>
      </c>
      <c r="X53" s="32">
        <f t="shared" si="27"/>
        <v>759.24424384458746</v>
      </c>
      <c r="Y53" s="32">
        <f t="shared" si="28"/>
        <v>20.774037886184068</v>
      </c>
      <c r="Z53" s="33">
        <f t="shared" si="29"/>
        <v>7.2683245214063783</v>
      </c>
      <c r="AA53" s="33">
        <f t="shared" si="30"/>
        <v>9.2517638250985321</v>
      </c>
      <c r="AB53" s="39">
        <f t="shared" si="4"/>
        <v>785.68964472735865</v>
      </c>
      <c r="AC53" s="36">
        <f t="shared" si="31"/>
        <v>1456.0202965733733</v>
      </c>
      <c r="AD53" s="36">
        <f t="shared" si="32"/>
        <v>31.620370906224124</v>
      </c>
      <c r="AE53" s="37">
        <f t="shared" si="33"/>
        <v>9.1574422839132499</v>
      </c>
      <c r="AF53" s="40">
        <f t="shared" si="5"/>
        <v>442.28415751970391</v>
      </c>
      <c r="AG53" s="32">
        <f t="shared" si="34"/>
        <v>768.84224313538357</v>
      </c>
      <c r="AH53" s="32">
        <f t="shared" si="35"/>
        <v>21.029324350938857</v>
      </c>
      <c r="AI53" s="33">
        <f t="shared" si="36"/>
        <v>7.2708575934475173</v>
      </c>
      <c r="AJ53" s="33">
        <f t="shared" si="37"/>
        <v>9.2528631464157396</v>
      </c>
      <c r="AK53" s="39">
        <f t="shared" si="6"/>
        <v>775.9735199170259</v>
      </c>
      <c r="AL53" s="36">
        <f t="shared" si="38"/>
        <v>610.90105623835359</v>
      </c>
      <c r="AM53" s="36">
        <f t="shared" si="39"/>
        <v>12.934121517964133</v>
      </c>
      <c r="AN53" s="37">
        <f t="shared" si="40"/>
        <v>9.3930721918296829</v>
      </c>
      <c r="AO53" s="40">
        <f t="shared" si="7"/>
        <v>1067.6150106577991</v>
      </c>
      <c r="AP53" s="32">
        <f t="shared" si="56"/>
        <v>758.87239516268824</v>
      </c>
      <c r="AQ53" s="32">
        <f t="shared" si="41"/>
        <v>20.763970886044291</v>
      </c>
      <c r="AR53" s="33">
        <f t="shared" si="42"/>
        <v>7.2682869524523612</v>
      </c>
      <c r="AS53" s="33">
        <f t="shared" si="43"/>
        <v>9.2517475132027496</v>
      </c>
      <c r="AT53" s="39">
        <f t="shared" si="8"/>
        <v>786.07324796662624</v>
      </c>
      <c r="AU53" s="36">
        <f t="shared" si="44"/>
        <v>1285.5587570064536</v>
      </c>
      <c r="AV53" s="36">
        <f t="shared" si="45"/>
        <v>29.649759687656335</v>
      </c>
      <c r="AW53" s="37">
        <f t="shared" si="46"/>
        <v>8.6227237840633482</v>
      </c>
      <c r="AX53" s="40">
        <f t="shared" si="9"/>
        <v>486.08478053961971</v>
      </c>
      <c r="AY53" s="2">
        <f t="shared" si="57"/>
        <v>8.3225083304080822</v>
      </c>
      <c r="AZ53" s="2">
        <f t="shared" si="47"/>
        <v>781.01999046684841</v>
      </c>
      <c r="BA53" s="2">
        <f t="shared" si="48"/>
        <v>780.23078775627164</v>
      </c>
      <c r="BB53" s="44">
        <f t="shared" si="60"/>
        <v>780.23078775627164</v>
      </c>
      <c r="BC53">
        <f t="shared" si="49"/>
        <v>186</v>
      </c>
      <c r="BD53" s="2">
        <f t="shared" si="50"/>
        <v>28.512119928787698</v>
      </c>
      <c r="BE53" s="2">
        <f t="shared" si="51"/>
        <v>624.18463020501736</v>
      </c>
      <c r="BF53" s="2">
        <f t="shared" si="10"/>
        <v>19.766618733588697</v>
      </c>
      <c r="BG53" s="24">
        <f t="shared" si="61"/>
        <v>0.69327074882394235</v>
      </c>
    </row>
    <row r="54" spans="1:59" x14ac:dyDescent="0.25">
      <c r="A54">
        <f t="shared" si="12"/>
        <v>192</v>
      </c>
      <c r="B54">
        <v>3.2</v>
      </c>
      <c r="C54" s="2">
        <f t="shared" si="58"/>
        <v>780.23078775627164</v>
      </c>
      <c r="D54" s="2">
        <f t="shared" si="13"/>
        <v>20.879979255989639</v>
      </c>
      <c r="E54" s="2">
        <f t="shared" si="14"/>
        <v>763.18797347950647</v>
      </c>
      <c r="F54" s="25">
        <f t="shared" si="15"/>
        <v>11.470508178727657</v>
      </c>
      <c r="G54">
        <f t="shared" si="16"/>
        <v>2.5738745372499826E-5</v>
      </c>
      <c r="H54">
        <f t="shared" si="17"/>
        <v>4.4874133142992194E-5</v>
      </c>
      <c r="I54" s="51">
        <f t="shared" si="59"/>
        <v>2.8152092722876768E-5</v>
      </c>
      <c r="J54" s="28">
        <f t="shared" si="52"/>
        <v>0.22610917574362474</v>
      </c>
      <c r="K54" s="24">
        <f t="shared" si="53"/>
        <v>7.4087448068300432</v>
      </c>
      <c r="L54" s="33">
        <f t="shared" si="54"/>
        <v>9.3112264584114683</v>
      </c>
      <c r="M54" s="39">
        <f t="shared" si="55"/>
        <v>786.63174426188868</v>
      </c>
      <c r="N54" s="40">
        <f t="shared" si="18"/>
        <v>379.47277131003983</v>
      </c>
      <c r="O54" s="32">
        <f t="shared" si="19"/>
        <v>769.83189409555234</v>
      </c>
      <c r="P54" s="32">
        <f t="shared" si="20"/>
        <v>21.055166140753364</v>
      </c>
      <c r="Q54" s="33">
        <f t="shared" si="21"/>
        <v>7.4110613411848769</v>
      </c>
      <c r="R54" s="33">
        <f t="shared" si="22"/>
        <v>9.312182426298321</v>
      </c>
      <c r="S54" s="39">
        <f t="shared" si="23"/>
        <v>779.92290016299978</v>
      </c>
      <c r="T54" s="36">
        <f t="shared" si="24"/>
        <v>608.00548755249542</v>
      </c>
      <c r="U54" s="36">
        <f t="shared" si="25"/>
        <v>11.739217956920676</v>
      </c>
      <c r="V54" s="37">
        <f t="shared" si="26"/>
        <v>10.49811953877518</v>
      </c>
      <c r="W54" s="40">
        <f t="shared" si="3"/>
        <v>1134.0131027321338</v>
      </c>
      <c r="X54" s="32">
        <f t="shared" si="27"/>
        <v>762.87311495472557</v>
      </c>
      <c r="Y54" s="32">
        <f t="shared" si="28"/>
        <v>20.871575857825704</v>
      </c>
      <c r="Z54" s="33">
        <f t="shared" si="29"/>
        <v>7.4086699855769558</v>
      </c>
      <c r="AA54" s="33">
        <f t="shared" si="30"/>
        <v>9.31119556841338</v>
      </c>
      <c r="AB54" s="39">
        <f t="shared" si="4"/>
        <v>786.95379789221761</v>
      </c>
      <c r="AC54" s="36">
        <f t="shared" si="31"/>
        <v>1485.3877279019393</v>
      </c>
      <c r="AD54" s="36">
        <f t="shared" si="32"/>
        <v>31.939048701112959</v>
      </c>
      <c r="AE54" s="37">
        <f t="shared" si="33"/>
        <v>9.4267292912766898</v>
      </c>
      <c r="AF54" s="40">
        <f t="shared" si="5"/>
        <v>439.85598029846091</v>
      </c>
      <c r="AG54" s="32">
        <f t="shared" si="34"/>
        <v>770.17114118755592</v>
      </c>
      <c r="AH54" s="32">
        <f t="shared" si="35"/>
        <v>21.064004631491812</v>
      </c>
      <c r="AI54" s="33">
        <f t="shared" si="36"/>
        <v>7.4112161605214313</v>
      </c>
      <c r="AJ54" s="33">
        <f t="shared" si="37"/>
        <v>9.3122462872024414</v>
      </c>
      <c r="AK54" s="39">
        <f t="shared" si="6"/>
        <v>779.58470377372112</v>
      </c>
      <c r="AL54" s="36">
        <f t="shared" si="38"/>
        <v>610.72645894366406</v>
      </c>
      <c r="AM54" s="36">
        <f t="shared" si="39"/>
        <v>12.886286500659271</v>
      </c>
      <c r="AN54" s="37">
        <f t="shared" si="40"/>
        <v>9.6064324564908254</v>
      </c>
      <c r="AO54" s="40">
        <f t="shared" si="7"/>
        <v>1079.9512360630551</v>
      </c>
      <c r="AP54" s="32">
        <f t="shared" si="56"/>
        <v>762.52775761829196</v>
      </c>
      <c r="AQ54" s="32">
        <f t="shared" si="41"/>
        <v>20.862347667067098</v>
      </c>
      <c r="AR54" s="33">
        <f t="shared" si="42"/>
        <v>7.4085916814096677</v>
      </c>
      <c r="AS54" s="33">
        <f t="shared" si="43"/>
        <v>9.3111632395944177</v>
      </c>
      <c r="AT54" s="39">
        <f t="shared" si="8"/>
        <v>787.30748448455461</v>
      </c>
      <c r="AU54" s="36">
        <f t="shared" si="44"/>
        <v>1320.0967063244932</v>
      </c>
      <c r="AV54" s="36">
        <f t="shared" si="45"/>
        <v>30.067621467609357</v>
      </c>
      <c r="AW54" s="37">
        <f t="shared" si="46"/>
        <v>8.8991771903691088</v>
      </c>
      <c r="AX54" s="40">
        <f t="shared" si="9"/>
        <v>480.88252383369888</v>
      </c>
      <c r="AY54" s="2">
        <f t="shared" si="57"/>
        <v>8.5087497057005912</v>
      </c>
      <c r="AZ54" s="2">
        <f t="shared" si="47"/>
        <v>783.44222157837328</v>
      </c>
      <c r="BA54" s="2">
        <f t="shared" si="48"/>
        <v>783.67571073183717</v>
      </c>
      <c r="BB54" s="44">
        <f t="shared" si="60"/>
        <v>783.67571073183717</v>
      </c>
      <c r="BC54">
        <f t="shared" si="49"/>
        <v>192</v>
      </c>
      <c r="BD54" s="2">
        <f t="shared" si="50"/>
        <v>28.152092722876766</v>
      </c>
      <c r="BE54" s="2">
        <f t="shared" si="51"/>
        <v>626.9405685854698</v>
      </c>
      <c r="BF54" s="2">
        <f t="shared" si="10"/>
        <v>19.302244193931308</v>
      </c>
      <c r="BG54" s="24">
        <f t="shared" si="61"/>
        <v>0.68564153947411688</v>
      </c>
    </row>
    <row r="55" spans="1:59" x14ac:dyDescent="0.25">
      <c r="A55">
        <f t="shared" si="12"/>
        <v>198</v>
      </c>
      <c r="B55">
        <v>3.3</v>
      </c>
      <c r="C55" s="2">
        <f t="shared" si="58"/>
        <v>783.67571073183717</v>
      </c>
      <c r="D55" s="2">
        <f t="shared" si="13"/>
        <v>20.974148818806405</v>
      </c>
      <c r="E55" s="2">
        <f t="shared" si="14"/>
        <v>766.74034314073788</v>
      </c>
      <c r="F55" s="25">
        <f t="shared" si="15"/>
        <v>11.830664403341848</v>
      </c>
      <c r="G55">
        <f t="shared" si="16"/>
        <v>2.5343940216610613E-5</v>
      </c>
      <c r="H55">
        <f t="shared" si="17"/>
        <v>4.4185811359062453E-5</v>
      </c>
      <c r="I55" s="51">
        <f t="shared" si="59"/>
        <v>2.7807931830911898E-5</v>
      </c>
      <c r="J55" s="28">
        <f t="shared" si="52"/>
        <v>0.22333027277225218</v>
      </c>
      <c r="K55" s="24">
        <f t="shared" si="53"/>
        <v>7.5479517945444519</v>
      </c>
      <c r="L55" s="33">
        <f t="shared" si="54"/>
        <v>9.3672607504446841</v>
      </c>
      <c r="M55" s="39">
        <f t="shared" si="55"/>
        <v>787.64731221648992</v>
      </c>
      <c r="N55" s="40">
        <f t="shared" si="18"/>
        <v>381.22157104887407</v>
      </c>
      <c r="O55" s="32">
        <f t="shared" si="19"/>
        <v>770.90330547178723</v>
      </c>
      <c r="P55" s="32">
        <f t="shared" si="20"/>
        <v>21.083045436514773</v>
      </c>
      <c r="Q55" s="33">
        <f t="shared" si="21"/>
        <v>7.5497350578534146</v>
      </c>
      <c r="R55" s="33">
        <f t="shared" si="22"/>
        <v>9.3679601063063362</v>
      </c>
      <c r="S55" s="39">
        <f t="shared" si="23"/>
        <v>783.45241828495682</v>
      </c>
      <c r="T55" s="36">
        <f t="shared" si="24"/>
        <v>608.05117715693314</v>
      </c>
      <c r="U55" s="36">
        <f t="shared" si="25"/>
        <v>11.771290553509228</v>
      </c>
      <c r="V55" s="37">
        <f t="shared" si="26"/>
        <v>10.665499558747097</v>
      </c>
      <c r="W55" s="40">
        <f t="shared" si="3"/>
        <v>1142.8564557274731</v>
      </c>
      <c r="X55" s="32">
        <f t="shared" si="27"/>
        <v>766.50844321266879</v>
      </c>
      <c r="Y55" s="32">
        <f t="shared" si="28"/>
        <v>20.968036894783602</v>
      </c>
      <c r="Z55" s="33">
        <f t="shared" si="29"/>
        <v>7.5478683926864987</v>
      </c>
      <c r="AA55" s="33">
        <f t="shared" si="30"/>
        <v>9.3672280307955162</v>
      </c>
      <c r="AB55" s="39">
        <f t="shared" si="4"/>
        <v>787.88285544254961</v>
      </c>
      <c r="AC55" s="36">
        <f t="shared" si="31"/>
        <v>1514.6565929102176</v>
      </c>
      <c r="AD55" s="36">
        <f t="shared" si="32"/>
        <v>32.25140423330096</v>
      </c>
      <c r="AE55" s="37">
        <f t="shared" si="33"/>
        <v>9.6968504786074856</v>
      </c>
      <c r="AF55" s="40">
        <f t="shared" si="5"/>
        <v>437.46406920091744</v>
      </c>
      <c r="AG55" s="32">
        <f t="shared" si="34"/>
        <v>771.15248113132134</v>
      </c>
      <c r="AH55" s="32">
        <f t="shared" si="35"/>
        <v>21.089514852129263</v>
      </c>
      <c r="AI55" s="33">
        <f t="shared" si="36"/>
        <v>7.5498586213789398</v>
      </c>
      <c r="AJ55" s="33">
        <f t="shared" si="37"/>
        <v>9.3680085480320852</v>
      </c>
      <c r="AK55" s="39">
        <f t="shared" si="6"/>
        <v>783.20331817960971</v>
      </c>
      <c r="AL55" s="36">
        <f t="shared" si="38"/>
        <v>610.56053975600594</v>
      </c>
      <c r="AM55" s="36">
        <f t="shared" si="39"/>
        <v>12.83929505218145</v>
      </c>
      <c r="AN55" s="37">
        <f t="shared" si="40"/>
        <v>9.818670850609978</v>
      </c>
      <c r="AO55" s="40">
        <f t="shared" si="7"/>
        <v>1092.0407298170651</v>
      </c>
      <c r="AP55" s="32">
        <f t="shared" si="56"/>
        <v>766.25001015349142</v>
      </c>
      <c r="AQ55" s="32">
        <f t="shared" si="41"/>
        <v>20.96121988572834</v>
      </c>
      <c r="AR55" s="33">
        <f t="shared" si="42"/>
        <v>7.5477774727469136</v>
      </c>
      <c r="AS55" s="33">
        <f t="shared" si="43"/>
        <v>9.3671923605519964</v>
      </c>
      <c r="AT55" s="39">
        <f t="shared" si="8"/>
        <v>788.14558335287097</v>
      </c>
      <c r="AU55" s="36">
        <f t="shared" si="44"/>
        <v>1355.0688686633639</v>
      </c>
      <c r="AV55" s="36">
        <f t="shared" si="45"/>
        <v>30.480433069292729</v>
      </c>
      <c r="AW55" s="37">
        <f t="shared" si="46"/>
        <v>9.1792116307652751</v>
      </c>
      <c r="AX55" s="40">
        <f t="shared" si="9"/>
        <v>475.75410243355236</v>
      </c>
      <c r="AY55" s="2">
        <f t="shared" si="57"/>
        <v>8.6944340079244498</v>
      </c>
      <c r="AZ55" s="2">
        <f t="shared" si="47"/>
        <v>785.67104381499678</v>
      </c>
      <c r="BA55" s="2">
        <f t="shared" si="48"/>
        <v>787.02883929475206</v>
      </c>
      <c r="BB55" s="44">
        <f t="shared" si="60"/>
        <v>787.02883929475206</v>
      </c>
      <c r="BC55">
        <f t="shared" si="49"/>
        <v>198</v>
      </c>
      <c r="BD55" s="2">
        <f t="shared" si="50"/>
        <v>27.807931830911897</v>
      </c>
      <c r="BE55" s="2">
        <f t="shared" si="51"/>
        <v>629.62307143580165</v>
      </c>
      <c r="BF55" s="2">
        <f t="shared" si="10"/>
        <v>18.861578179471859</v>
      </c>
      <c r="BG55" s="24">
        <f t="shared" si="61"/>
        <v>0.67828050982579446</v>
      </c>
    </row>
    <row r="56" spans="1:59" x14ac:dyDescent="0.25">
      <c r="A56">
        <f t="shared" si="12"/>
        <v>204</v>
      </c>
      <c r="B56">
        <v>3.4</v>
      </c>
      <c r="C56" s="2">
        <f t="shared" si="58"/>
        <v>787.02883929475206</v>
      </c>
      <c r="D56" s="2">
        <f t="shared" si="13"/>
        <v>21.06606441334889</v>
      </c>
      <c r="E56" s="2">
        <f t="shared" si="14"/>
        <v>770.25025755672357</v>
      </c>
      <c r="F56" s="25">
        <f t="shared" si="15"/>
        <v>12.191540533102334</v>
      </c>
      <c r="G56">
        <f t="shared" si="16"/>
        <v>2.4966025487052411E-5</v>
      </c>
      <c r="H56">
        <f t="shared" si="17"/>
        <v>4.3526937134796193E-5</v>
      </c>
      <c r="I56" s="51">
        <f t="shared" si="59"/>
        <v>2.7478494718778767E-5</v>
      </c>
      <c r="J56" s="28">
        <f t="shared" si="52"/>
        <v>0.22066213488779682</v>
      </c>
      <c r="K56" s="24">
        <f t="shared" si="53"/>
        <v>7.6860431415295354</v>
      </c>
      <c r="L56" s="33">
        <f t="shared" si="54"/>
        <v>9.4200631474367071</v>
      </c>
      <c r="M56" s="39">
        <f t="shared" si="55"/>
        <v>788.39785440685989</v>
      </c>
      <c r="N56" s="40">
        <f t="shared" si="18"/>
        <v>382.90122043550457</v>
      </c>
      <c r="O56" s="32">
        <f t="shared" si="19"/>
        <v>771.69818024434176</v>
      </c>
      <c r="P56" s="32">
        <f t="shared" si="20"/>
        <v>21.103664110808776</v>
      </c>
      <c r="Q56" s="33">
        <f t="shared" si="21"/>
        <v>7.6867717179966242</v>
      </c>
      <c r="R56" s="33">
        <f t="shared" si="22"/>
        <v>9.4203345333776909</v>
      </c>
      <c r="S56" s="39">
        <f t="shared" si="23"/>
        <v>786.94126905379142</v>
      </c>
      <c r="T56" s="36">
        <f t="shared" si="24"/>
        <v>608.09635896237205</v>
      </c>
      <c r="U56" s="36">
        <f t="shared" si="25"/>
        <v>11.802159444319843</v>
      </c>
      <c r="V56" s="37">
        <f t="shared" si="26"/>
        <v>10.830918774079159</v>
      </c>
      <c r="W56" s="40">
        <f t="shared" si="3"/>
        <v>1151.4827490364357</v>
      </c>
      <c r="X56" s="32">
        <f t="shared" si="27"/>
        <v>770.15793452805678</v>
      </c>
      <c r="Y56" s="32">
        <f t="shared" si="28"/>
        <v>21.063660744636138</v>
      </c>
      <c r="Z56" s="33">
        <f t="shared" si="29"/>
        <v>7.6859988677832565</v>
      </c>
      <c r="AA56" s="33">
        <f t="shared" si="30"/>
        <v>9.4200466535889316</v>
      </c>
      <c r="AB56" s="39">
        <f t="shared" si="4"/>
        <v>788.49098336114594</v>
      </c>
      <c r="AC56" s="36">
        <f t="shared" si="31"/>
        <v>1543.8298130439639</v>
      </c>
      <c r="AD56" s="36">
        <f t="shared" si="32"/>
        <v>32.55778083441708</v>
      </c>
      <c r="AE56" s="37">
        <f t="shared" si="33"/>
        <v>9.9677927923995409</v>
      </c>
      <c r="AF56" s="40">
        <f t="shared" si="5"/>
        <v>435.10819885379129</v>
      </c>
      <c r="AG56" s="32">
        <f t="shared" si="34"/>
        <v>771.79699184555159</v>
      </c>
      <c r="AH56" s="32">
        <f t="shared" si="35"/>
        <v>21.106223402034914</v>
      </c>
      <c r="AI56" s="33">
        <f t="shared" si="36"/>
        <v>7.686823766491429</v>
      </c>
      <c r="AJ56" s="33">
        <f t="shared" si="37"/>
        <v>9.4203539179503899</v>
      </c>
      <c r="AK56" s="39">
        <f t="shared" si="6"/>
        <v>786.84213767252777</v>
      </c>
      <c r="AL56" s="36">
        <f t="shared" si="38"/>
        <v>610.40287259243871</v>
      </c>
      <c r="AM56" s="36">
        <f t="shared" si="39"/>
        <v>12.793136933493884</v>
      </c>
      <c r="AN56" s="37">
        <f t="shared" si="40"/>
        <v>10.029837428858512</v>
      </c>
      <c r="AO56" s="40">
        <f t="shared" si="7"/>
        <v>1103.8944951852743</v>
      </c>
      <c r="AP56" s="32">
        <f t="shared" si="56"/>
        <v>770.05346558742667</v>
      </c>
      <c r="AQ56" s="32">
        <f t="shared" si="41"/>
        <v>21.060939947655442</v>
      </c>
      <c r="AR56" s="33">
        <f t="shared" si="42"/>
        <v>7.6859490872832001</v>
      </c>
      <c r="AS56" s="33">
        <f t="shared" si="43"/>
        <v>9.4200281079118682</v>
      </c>
      <c r="AT56" s="39">
        <f t="shared" si="8"/>
        <v>788.59640107004839</v>
      </c>
      <c r="AU56" s="36">
        <f t="shared" si="44"/>
        <v>1390.4579982400573</v>
      </c>
      <c r="AV56" s="36">
        <f t="shared" si="45"/>
        <v>30.888374175523332</v>
      </c>
      <c r="AW56" s="37">
        <f t="shared" si="46"/>
        <v>9.4627463382562329</v>
      </c>
      <c r="AX56" s="40">
        <f t="shared" si="9"/>
        <v>470.70402734860176</v>
      </c>
      <c r="AY56" s="2">
        <f t="shared" si="57"/>
        <v>8.8796048466434936</v>
      </c>
      <c r="AZ56" s="2">
        <f t="shared" si="47"/>
        <v>787.71769778937835</v>
      </c>
      <c r="BA56" s="2">
        <f t="shared" si="48"/>
        <v>790.29736760602577</v>
      </c>
      <c r="BB56" s="44">
        <f t="shared" si="60"/>
        <v>790.29736760602577</v>
      </c>
      <c r="BC56">
        <f t="shared" si="49"/>
        <v>204</v>
      </c>
      <c r="BD56" s="2">
        <f t="shared" si="50"/>
        <v>27.478494718778766</v>
      </c>
      <c r="BE56" s="2">
        <f t="shared" si="51"/>
        <v>632.23789408482071</v>
      </c>
      <c r="BF56" s="2">
        <f t="shared" si="10"/>
        <v>18.44276846793958</v>
      </c>
      <c r="BG56" s="24">
        <f t="shared" si="61"/>
        <v>0.67117098868359104</v>
      </c>
    </row>
    <row r="57" spans="1:59" x14ac:dyDescent="0.25">
      <c r="A57">
        <f t="shared" si="12"/>
        <v>210</v>
      </c>
      <c r="B57">
        <v>3.5</v>
      </c>
      <c r="C57" s="2">
        <f t="shared" si="58"/>
        <v>790.29736760602577</v>
      </c>
      <c r="D57" s="2">
        <f t="shared" si="13"/>
        <v>21.155903357435328</v>
      </c>
      <c r="E57" s="2">
        <f t="shared" si="14"/>
        <v>773.72155332539126</v>
      </c>
      <c r="F57" s="25">
        <f t="shared" si="15"/>
        <v>12.553140520581424</v>
      </c>
      <c r="G57">
        <f t="shared" si="16"/>
        <v>2.4603818113753922E-5</v>
      </c>
      <c r="H57">
        <f t="shared" si="17"/>
        <v>4.2895447850468606E-5</v>
      </c>
      <c r="I57" s="51">
        <f t="shared" si="59"/>
        <v>2.7162750076614974E-5</v>
      </c>
      <c r="J57" s="28">
        <f t="shared" si="52"/>
        <v>0.2180973025615352</v>
      </c>
      <c r="K57" s="24">
        <f t="shared" si="53"/>
        <v>7.8230736835467161</v>
      </c>
      <c r="L57" s="33">
        <f t="shared" si="54"/>
        <v>9.4698024694706078</v>
      </c>
      <c r="M57" s="39">
        <f t="shared" si="55"/>
        <v>788.89894640664261</v>
      </c>
      <c r="N57" s="40">
        <f t="shared" si="18"/>
        <v>384.51464761809927</v>
      </c>
      <c r="O57" s="32">
        <f t="shared" si="19"/>
        <v>772.23032178762776</v>
      </c>
      <c r="P57" s="32">
        <f t="shared" si="20"/>
        <v>21.117436987298152</v>
      </c>
      <c r="Q57" s="33">
        <f t="shared" si="21"/>
        <v>7.8222185085116775</v>
      </c>
      <c r="R57" s="33">
        <f t="shared" si="22"/>
        <v>9.4695000986052502</v>
      </c>
      <c r="S57" s="39">
        <f t="shared" si="23"/>
        <v>790.39712804890598</v>
      </c>
      <c r="T57" s="36">
        <f t="shared" si="24"/>
        <v>608.14100359853637</v>
      </c>
      <c r="U57" s="36">
        <f t="shared" si="25"/>
        <v>11.831870799017892</v>
      </c>
      <c r="V57" s="37">
        <f t="shared" si="26"/>
        <v>10.994492011018027</v>
      </c>
      <c r="W57" s="40">
        <f t="shared" si="3"/>
        <v>1159.9043207385712</v>
      </c>
      <c r="X57" s="32">
        <f t="shared" si="27"/>
        <v>773.82828170877985</v>
      </c>
      <c r="Y57" s="32">
        <f t="shared" si="28"/>
        <v>21.158649141753394</v>
      </c>
      <c r="Z57" s="33">
        <f t="shared" si="29"/>
        <v>7.8231374607110151</v>
      </c>
      <c r="AA57" s="33">
        <f t="shared" si="30"/>
        <v>9.4698250156527184</v>
      </c>
      <c r="AB57" s="39">
        <f t="shared" si="4"/>
        <v>788.79201742973055</v>
      </c>
      <c r="AC57" s="36">
        <f t="shared" si="31"/>
        <v>1572.9103423119814</v>
      </c>
      <c r="AD57" s="36">
        <f t="shared" si="32"/>
        <v>32.858494402254443</v>
      </c>
      <c r="AE57" s="37">
        <f t="shared" si="33"/>
        <v>10.239543806697323</v>
      </c>
      <c r="AF57" s="40">
        <f t="shared" si="5"/>
        <v>432.7879943298326</v>
      </c>
      <c r="AG57" s="32">
        <f t="shared" si="34"/>
        <v>772.11666947545552</v>
      </c>
      <c r="AH57" s="32">
        <f t="shared" si="35"/>
        <v>21.114497494881636</v>
      </c>
      <c r="AI57" s="33">
        <f t="shared" si="36"/>
        <v>7.8221561042723797</v>
      </c>
      <c r="AJ57" s="33">
        <f t="shared" si="37"/>
        <v>9.4694780299422447</v>
      </c>
      <c r="AK57" s="39">
        <f t="shared" si="6"/>
        <v>790.5116288762971</v>
      </c>
      <c r="AL57" s="36">
        <f t="shared" si="38"/>
        <v>610.25304059774317</v>
      </c>
      <c r="AM57" s="36">
        <f t="shared" si="39"/>
        <v>12.747799122322597</v>
      </c>
      <c r="AN57" s="37">
        <f t="shared" si="40"/>
        <v>10.239978406960278</v>
      </c>
      <c r="AO57" s="40">
        <f t="shared" si="7"/>
        <v>1115.5227638911524</v>
      </c>
      <c r="AP57" s="32">
        <f t="shared" si="56"/>
        <v>773.95083707791855</v>
      </c>
      <c r="AQ57" s="32">
        <f t="shared" si="41"/>
        <v>21.161800911918192</v>
      </c>
      <c r="AR57" s="33">
        <f t="shared" si="42"/>
        <v>7.8232111159757345</v>
      </c>
      <c r="AS57" s="33">
        <f t="shared" si="43"/>
        <v>9.4698510531996281</v>
      </c>
      <c r="AT57" s="39">
        <f t="shared" si="8"/>
        <v>788.66928041694052</v>
      </c>
      <c r="AU57" s="36">
        <f t="shared" si="44"/>
        <v>1426.2477287960714</v>
      </c>
      <c r="AV57" s="36">
        <f t="shared" si="45"/>
        <v>31.291613153115904</v>
      </c>
      <c r="AW57" s="37">
        <f t="shared" si="46"/>
        <v>9.7497013662608758</v>
      </c>
      <c r="AX57" s="40">
        <f t="shared" si="9"/>
        <v>465.73573261965197</v>
      </c>
      <c r="AY57" s="2">
        <f t="shared" si="57"/>
        <v>9.0643048475509147</v>
      </c>
      <c r="AZ57" s="2">
        <f t="shared" si="47"/>
        <v>789.59251369296851</v>
      </c>
      <c r="BA57" s="2">
        <f t="shared" si="48"/>
        <v>793.48770289480206</v>
      </c>
      <c r="BB57" s="44">
        <f t="shared" si="60"/>
        <v>793.48770289480206</v>
      </c>
      <c r="BC57">
        <f t="shared" si="49"/>
        <v>210</v>
      </c>
      <c r="BD57" s="2">
        <f t="shared" si="50"/>
        <v>27.162750076614973</v>
      </c>
      <c r="BE57" s="2">
        <f t="shared" si="51"/>
        <v>634.79016231584171</v>
      </c>
      <c r="BF57" s="2">
        <f t="shared" si="10"/>
        <v>18.044152206623405</v>
      </c>
      <c r="BG57" s="24">
        <f t="shared" si="61"/>
        <v>0.66429769282301143</v>
      </c>
    </row>
    <row r="58" spans="1:59" x14ac:dyDescent="0.25">
      <c r="A58">
        <f t="shared" si="12"/>
        <v>216</v>
      </c>
      <c r="B58">
        <v>3.6</v>
      </c>
      <c r="C58" s="2">
        <f t="shared" si="58"/>
        <v>793.48770289480206</v>
      </c>
      <c r="D58" s="2">
        <f t="shared" si="13"/>
        <v>21.24382387045398</v>
      </c>
      <c r="E58" s="2">
        <f t="shared" si="14"/>
        <v>777.15769536143648</v>
      </c>
      <c r="F58" s="25">
        <f t="shared" si="15"/>
        <v>12.915469133116426</v>
      </c>
      <c r="G58">
        <f t="shared" si="16"/>
        <v>2.4256247206530199E-5</v>
      </c>
      <c r="H58">
        <f t="shared" si="17"/>
        <v>4.2289476466018286E-5</v>
      </c>
      <c r="I58" s="51">
        <f t="shared" si="59"/>
        <v>2.6859764384389814E-5</v>
      </c>
      <c r="J58" s="28">
        <f t="shared" si="52"/>
        <v>0.21562900359121709</v>
      </c>
      <c r="K58" s="24">
        <f t="shared" si="53"/>
        <v>7.9590947931572993</v>
      </c>
      <c r="L58" s="33">
        <f t="shared" si="54"/>
        <v>9.5166378354555583</v>
      </c>
      <c r="M58" s="39">
        <f t="shared" si="55"/>
        <v>789.16526612564132</v>
      </c>
      <c r="N58" s="40">
        <f t="shared" si="18"/>
        <v>386.06459974908813</v>
      </c>
      <c r="O58" s="32">
        <f t="shared" si="19"/>
        <v>772.51361714700579</v>
      </c>
      <c r="P58" s="32">
        <f t="shared" si="20"/>
        <v>21.124759266656326</v>
      </c>
      <c r="Q58" s="33">
        <f t="shared" si="21"/>
        <v>7.9561249041889406</v>
      </c>
      <c r="R58" s="33">
        <f t="shared" si="22"/>
        <v>9.5156416657156413</v>
      </c>
      <c r="S58" s="39">
        <f t="shared" si="23"/>
        <v>793.82634437602064</v>
      </c>
      <c r="T58" s="36">
        <f t="shared" si="24"/>
        <v>608.18508059767839</v>
      </c>
      <c r="U58" s="36">
        <f t="shared" si="25"/>
        <v>11.860468171545591</v>
      </c>
      <c r="V58" s="37">
        <f t="shared" si="26"/>
        <v>11.156324743552728</v>
      </c>
      <c r="W58" s="40">
        <f t="shared" si="3"/>
        <v>1168.1324835279599</v>
      </c>
      <c r="X58" s="32">
        <f t="shared" si="27"/>
        <v>777.52521957266708</v>
      </c>
      <c r="Y58" s="32">
        <f t="shared" si="28"/>
        <v>21.253169670056963</v>
      </c>
      <c r="Z58" s="33">
        <f t="shared" si="29"/>
        <v>7.9593571524314308</v>
      </c>
      <c r="AA58" s="33">
        <f t="shared" si="30"/>
        <v>9.5167257807276204</v>
      </c>
      <c r="AB58" s="39">
        <f t="shared" si="4"/>
        <v>788.79952924012332</v>
      </c>
      <c r="AC58" s="36">
        <f t="shared" si="31"/>
        <v>1601.9011344915405</v>
      </c>
      <c r="AD58" s="36">
        <f t="shared" si="32"/>
        <v>33.153836177864406</v>
      </c>
      <c r="AE58" s="37">
        <f t="shared" si="33"/>
        <v>10.512091667174266</v>
      </c>
      <c r="AF58" s="40">
        <f t="shared" si="5"/>
        <v>430.50296831047802</v>
      </c>
      <c r="AG58" s="32">
        <f t="shared" si="34"/>
        <v>772.12465187316184</v>
      </c>
      <c r="AH58" s="32">
        <f t="shared" si="35"/>
        <v>21.114703987227742</v>
      </c>
      <c r="AI58" s="33">
        <f t="shared" si="36"/>
        <v>7.9559059185305747</v>
      </c>
      <c r="AJ58" s="33">
        <f t="shared" si="37"/>
        <v>9.5155681666115122</v>
      </c>
      <c r="AK58" s="39">
        <f t="shared" si="6"/>
        <v>794.22010746018805</v>
      </c>
      <c r="AL58" s="36">
        <f t="shared" si="38"/>
        <v>610.11063939566509</v>
      </c>
      <c r="AM58" s="36">
        <f t="shared" si="39"/>
        <v>12.703266572919178</v>
      </c>
      <c r="AN58" s="37">
        <f t="shared" si="40"/>
        <v>10.449136544599069</v>
      </c>
      <c r="AO58" s="40">
        <f t="shared" si="7"/>
        <v>1126.9350673413401</v>
      </c>
      <c r="AP58" s="32">
        <f t="shared" si="56"/>
        <v>777.95324224862475</v>
      </c>
      <c r="AQ58" s="32">
        <f t="shared" si="41"/>
        <v>21.264039941112664</v>
      </c>
      <c r="AR58" s="33">
        <f t="shared" si="42"/>
        <v>7.9596676294143638</v>
      </c>
      <c r="AS58" s="33">
        <f t="shared" si="43"/>
        <v>9.5168298437366641</v>
      </c>
      <c r="AT58" s="39">
        <f t="shared" si="8"/>
        <v>788.374159616817</v>
      </c>
      <c r="AU58" s="36">
        <f t="shared" si="44"/>
        <v>1462.4225063894262</v>
      </c>
      <c r="AV58" s="36">
        <f t="shared" si="45"/>
        <v>31.690307996532624</v>
      </c>
      <c r="AW58" s="37">
        <f t="shared" si="46"/>
        <v>10.039997845600229</v>
      </c>
      <c r="AX58" s="40">
        <f t="shared" si="9"/>
        <v>460.85174598338909</v>
      </c>
      <c r="AY58" s="2">
        <f t="shared" si="57"/>
        <v>9.2485758006864511</v>
      </c>
      <c r="AZ58" s="2">
        <f t="shared" si="47"/>
        <v>791.30503517328725</v>
      </c>
      <c r="BA58" s="2">
        <f t="shared" si="48"/>
        <v>796.60556629079178</v>
      </c>
      <c r="BB58" s="44">
        <f t="shared" si="60"/>
        <v>796.60556629079178</v>
      </c>
      <c r="BC58">
        <f t="shared" si="49"/>
        <v>216</v>
      </c>
      <c r="BD58" s="2">
        <f t="shared" si="50"/>
        <v>26.859764384389813</v>
      </c>
      <c r="BE58" s="2">
        <f t="shared" si="51"/>
        <v>637.28445303263345</v>
      </c>
      <c r="BF58" s="2">
        <f t="shared" si="10"/>
        <v>17.664232167338735</v>
      </c>
      <c r="BG58" s="24">
        <f t="shared" si="61"/>
        <v>0.65764657926801184</v>
      </c>
    </row>
    <row r="59" spans="1:59" x14ac:dyDescent="0.25">
      <c r="A59">
        <f t="shared" si="12"/>
        <v>222</v>
      </c>
      <c r="B59">
        <v>3.7</v>
      </c>
      <c r="C59" s="2">
        <f t="shared" si="58"/>
        <v>796.60556629079178</v>
      </c>
      <c r="D59" s="2">
        <f t="shared" si="13"/>
        <v>21.329967457324877</v>
      </c>
      <c r="E59" s="2">
        <f t="shared" si="14"/>
        <v>780.56181430301694</v>
      </c>
      <c r="F59" s="25">
        <f t="shared" si="15"/>
        <v>13.278531802896923</v>
      </c>
      <c r="G59">
        <f t="shared" si="16"/>
        <v>2.3922340846892647E-5</v>
      </c>
      <c r="H59">
        <f t="shared" si="17"/>
        <v>4.170732849327069E-5</v>
      </c>
      <c r="I59" s="51">
        <f t="shared" si="59"/>
        <v>2.6568690398016016E-5</v>
      </c>
      <c r="J59" s="28">
        <f t="shared" si="52"/>
        <v>0.21325107403080712</v>
      </c>
      <c r="K59" s="24">
        <f t="shared" si="53"/>
        <v>8.0941546664335373</v>
      </c>
      <c r="L59" s="33">
        <f t="shared" si="54"/>
        <v>9.5607195325647911</v>
      </c>
      <c r="M59" s="39">
        <f t="shared" si="55"/>
        <v>789.21067373224491</v>
      </c>
      <c r="N59" s="40">
        <f t="shared" si="18"/>
        <v>387.55366081987364</v>
      </c>
      <c r="O59" s="32">
        <f t="shared" si="19"/>
        <v>772.56195191769291</v>
      </c>
      <c r="P59" s="32">
        <f t="shared" si="20"/>
        <v>21.126007876419173</v>
      </c>
      <c r="Q59" s="33">
        <f t="shared" si="21"/>
        <v>8.0885424395784984</v>
      </c>
      <c r="R59" s="33">
        <f t="shared" si="22"/>
        <v>9.5589348351390342</v>
      </c>
      <c r="S59" s="39">
        <f t="shared" si="23"/>
        <v>797.23408597575576</v>
      </c>
      <c r="T59" s="36">
        <f t="shared" si="24"/>
        <v>608.22855916013327</v>
      </c>
      <c r="U59" s="36">
        <f t="shared" si="25"/>
        <v>11.88799275741788</v>
      </c>
      <c r="V59" s="37">
        <f t="shared" si="26"/>
        <v>11.316514046777749</v>
      </c>
      <c r="W59" s="40">
        <f t="shared" si="3"/>
        <v>1176.1776328737401</v>
      </c>
      <c r="X59" s="32">
        <f t="shared" si="27"/>
        <v>781.25357826217692</v>
      </c>
      <c r="Y59" s="32">
        <f t="shared" si="28"/>
        <v>21.347359228107827</v>
      </c>
      <c r="Z59" s="33">
        <f t="shared" si="29"/>
        <v>8.0947278369696978</v>
      </c>
      <c r="AA59" s="33">
        <f t="shared" si="30"/>
        <v>9.5609015746397219</v>
      </c>
      <c r="AB59" s="39">
        <f t="shared" si="4"/>
        <v>788.52687789124559</v>
      </c>
      <c r="AC59" s="36">
        <f t="shared" si="31"/>
        <v>1630.8051174726747</v>
      </c>
      <c r="AD59" s="36">
        <f t="shared" si="32"/>
        <v>33.444075184431846</v>
      </c>
      <c r="AE59" s="37">
        <f t="shared" si="33"/>
        <v>10.785425039329315</v>
      </c>
      <c r="AF59" s="40">
        <f t="shared" si="5"/>
        <v>428.25255041809351</v>
      </c>
      <c r="AG59" s="32">
        <f t="shared" si="34"/>
        <v>771.83508734899453</v>
      </c>
      <c r="AH59" s="32">
        <f t="shared" si="35"/>
        <v>21.107209877049485</v>
      </c>
      <c r="AI59" s="33">
        <f t="shared" si="36"/>
        <v>8.088129185066677</v>
      </c>
      <c r="AJ59" s="33">
        <f t="shared" si="37"/>
        <v>9.5588032599259041</v>
      </c>
      <c r="AK59" s="39">
        <f t="shared" si="6"/>
        <v>797.97388571785098</v>
      </c>
      <c r="AL59" s="36">
        <f t="shared" si="38"/>
        <v>609.97527922896438</v>
      </c>
      <c r="AM59" s="36">
        <f t="shared" si="39"/>
        <v>12.659522810829218</v>
      </c>
      <c r="AN59" s="37">
        <f t="shared" si="40"/>
        <v>10.657351480160159</v>
      </c>
      <c r="AO59" s="40">
        <f t="shared" si="7"/>
        <v>1138.1402997873884</v>
      </c>
      <c r="AP59" s="32">
        <f t="shared" si="56"/>
        <v>782.07020872984117</v>
      </c>
      <c r="AQ59" s="32">
        <f t="shared" si="41"/>
        <v>21.367841567370931</v>
      </c>
      <c r="AR59" s="33">
        <f t="shared" si="42"/>
        <v>8.0954217262118426</v>
      </c>
      <c r="AS59" s="33">
        <f t="shared" si="43"/>
        <v>9.5611219013434035</v>
      </c>
      <c r="AT59" s="39">
        <f t="shared" si="8"/>
        <v>787.72165770468087</v>
      </c>
      <c r="AU59" s="36">
        <f t="shared" si="44"/>
        <v>1498.9675285121393</v>
      </c>
      <c r="AV59" s="36">
        <f t="shared" si="45"/>
        <v>32.084607174313568</v>
      </c>
      <c r="AW59" s="37">
        <f t="shared" si="46"/>
        <v>10.333558176714625</v>
      </c>
      <c r="AX59" s="40">
        <f t="shared" si="9"/>
        <v>456.05383350385938</v>
      </c>
      <c r="AY59" s="2">
        <f t="shared" si="57"/>
        <v>9.4324587413510717</v>
      </c>
      <c r="AZ59" s="2">
        <f t="shared" si="47"/>
        <v>792.86412682238324</v>
      </c>
      <c r="BA59" s="2">
        <f t="shared" si="48"/>
        <v>799.65607914577026</v>
      </c>
      <c r="BB59" s="44">
        <f t="shared" si="60"/>
        <v>799.65607914577026</v>
      </c>
      <c r="BC59">
        <f t="shared" si="49"/>
        <v>222</v>
      </c>
      <c r="BD59" s="2">
        <f t="shared" si="50"/>
        <v>26.568690398016017</v>
      </c>
      <c r="BE59" s="2">
        <f t="shared" si="51"/>
        <v>639.72486331661628</v>
      </c>
      <c r="BF59" s="2">
        <f t="shared" si="10"/>
        <v>17.301656545501537</v>
      </c>
      <c r="BG59" s="24">
        <f t="shared" si="61"/>
        <v>0.65120471827220794</v>
      </c>
    </row>
    <row r="60" spans="1:59" x14ac:dyDescent="0.25">
      <c r="A60">
        <f t="shared" si="12"/>
        <v>228</v>
      </c>
      <c r="B60">
        <v>3.8</v>
      </c>
      <c r="C60" s="2">
        <f t="shared" si="58"/>
        <v>799.65607914577026</v>
      </c>
      <c r="D60" s="2">
        <f t="shared" si="13"/>
        <v>21.414460960257074</v>
      </c>
      <c r="E60" s="2">
        <f t="shared" si="14"/>
        <v>783.93674019421019</v>
      </c>
      <c r="F60" s="25">
        <f t="shared" si="15"/>
        <v>13.642334497341654</v>
      </c>
      <c r="G60">
        <f t="shared" si="16"/>
        <v>2.3601214721293185E-5</v>
      </c>
      <c r="H60">
        <f t="shared" si="17"/>
        <v>4.1147462178604095E-5</v>
      </c>
      <c r="I60" s="51">
        <f t="shared" si="59"/>
        <v>2.6288757240682718E-5</v>
      </c>
      <c r="J60" s="28">
        <f t="shared" si="52"/>
        <v>0.2109578899317246</v>
      </c>
      <c r="K60" s="24">
        <f t="shared" si="53"/>
        <v>8.2282985795168244</v>
      </c>
      <c r="L60" s="33">
        <f t="shared" si="54"/>
        <v>9.6021897928598889</v>
      </c>
      <c r="M60" s="39">
        <f t="shared" si="55"/>
        <v>789.04828164025264</v>
      </c>
      <c r="N60" s="40">
        <f t="shared" si="18"/>
        <v>388.98426688800117</v>
      </c>
      <c r="O60" s="32">
        <f t="shared" si="19"/>
        <v>772.38913539428381</v>
      </c>
      <c r="P60" s="32">
        <f t="shared" si="20"/>
        <v>21.12154266221296</v>
      </c>
      <c r="Q60" s="33">
        <f t="shared" si="21"/>
        <v>8.2195244610616083</v>
      </c>
      <c r="R60" s="33">
        <f t="shared" si="22"/>
        <v>9.5995462264986795</v>
      </c>
      <c r="S60" s="39">
        <f t="shared" si="23"/>
        <v>800.62446944887233</v>
      </c>
      <c r="T60" s="36">
        <f t="shared" si="24"/>
        <v>608.27140876455928</v>
      </c>
      <c r="U60" s="36">
        <f t="shared" si="25"/>
        <v>11.914483611567805</v>
      </c>
      <c r="V60" s="37">
        <f t="shared" si="26"/>
        <v>11.475149434906029</v>
      </c>
      <c r="W60" s="40">
        <f t="shared" si="3"/>
        <v>1184.0493414897721</v>
      </c>
      <c r="X60" s="32">
        <f t="shared" si="27"/>
        <v>785.01733451580844</v>
      </c>
      <c r="Y60" s="32">
        <f t="shared" si="28"/>
        <v>21.441327150087155</v>
      </c>
      <c r="Z60" s="33">
        <f t="shared" si="29"/>
        <v>8.2293162841387684</v>
      </c>
      <c r="AA60" s="33">
        <f t="shared" si="30"/>
        <v>9.6024958011440447</v>
      </c>
      <c r="AB60" s="39">
        <f t="shared" si="4"/>
        <v>787.98724987287835</v>
      </c>
      <c r="AC60" s="36">
        <f t="shared" si="31"/>
        <v>1659.6251733627237</v>
      </c>
      <c r="AD60" s="36">
        <f t="shared" si="32"/>
        <v>33.72946037595203</v>
      </c>
      <c r="AE60" s="37">
        <f t="shared" si="33"/>
        <v>11.059533060944267</v>
      </c>
      <c r="AF60" s="40">
        <f t="shared" si="5"/>
        <v>426.03611036703541</v>
      </c>
      <c r="AG60" s="32">
        <f t="shared" si="34"/>
        <v>771.26299958662298</v>
      </c>
      <c r="AH60" s="32">
        <f t="shared" si="35"/>
        <v>21.092382540528554</v>
      </c>
      <c r="AI60" s="33">
        <f t="shared" si="36"/>
        <v>8.2188873616528539</v>
      </c>
      <c r="AJ60" s="33">
        <f t="shared" si="37"/>
        <v>9.5993539021478682</v>
      </c>
      <c r="AK60" s="39">
        <f t="shared" si="6"/>
        <v>801.77741277971211</v>
      </c>
      <c r="AL60" s="36">
        <f t="shared" si="38"/>
        <v>609.8465862737894</v>
      </c>
      <c r="AM60" s="36">
        <f t="shared" si="39"/>
        <v>12.616550397975024</v>
      </c>
      <c r="AN60" s="37">
        <f t="shared" si="40"/>
        <v>10.864660024678562</v>
      </c>
      <c r="AO60" s="40">
        <f t="shared" si="7"/>
        <v>1149.1467745114946</v>
      </c>
      <c r="AP60" s="32">
        <f t="shared" si="56"/>
        <v>786.30968026567325</v>
      </c>
      <c r="AQ60" s="32">
        <f t="shared" si="41"/>
        <v>21.473340813506539</v>
      </c>
      <c r="AR60" s="33">
        <f t="shared" si="42"/>
        <v>8.2305749861770536</v>
      </c>
      <c r="AS60" s="33">
        <f t="shared" si="43"/>
        <v>9.6028740963380557</v>
      </c>
      <c r="AT60" s="39">
        <f t="shared" si="8"/>
        <v>786.72313907593707</v>
      </c>
      <c r="AU60" s="36">
        <f t="shared" si="44"/>
        <v>1535.8686888985276</v>
      </c>
      <c r="AV60" s="36">
        <f t="shared" si="45"/>
        <v>32.474650390648804</v>
      </c>
      <c r="AW60" s="37">
        <f t="shared" si="46"/>
        <v>10.630306170790028</v>
      </c>
      <c r="AX60" s="40">
        <f t="shared" si="9"/>
        <v>451.34312222830624</v>
      </c>
      <c r="AY60" s="2">
        <f t="shared" si="57"/>
        <v>9.615993973043647</v>
      </c>
      <c r="AZ60" s="2">
        <f t="shared" si="47"/>
        <v>794.27806779434991</v>
      </c>
      <c r="BA60" s="2">
        <f t="shared" si="48"/>
        <v>802.64383714915209</v>
      </c>
      <c r="BB60" s="44">
        <f t="shared" si="60"/>
        <v>802.64383714915209</v>
      </c>
      <c r="BC60">
        <f t="shared" si="49"/>
        <v>228</v>
      </c>
      <c r="BD60" s="2">
        <f t="shared" si="50"/>
        <v>26.288757240682717</v>
      </c>
      <c r="BE60" s="2">
        <f t="shared" si="51"/>
        <v>642.1150697193217</v>
      </c>
      <c r="BF60" s="2">
        <f t="shared" si="10"/>
        <v>16.955201696393559</v>
      </c>
      <c r="BG60" s="24">
        <f t="shared" si="61"/>
        <v>0.64496018359341944</v>
      </c>
    </row>
    <row r="61" spans="1:59" x14ac:dyDescent="0.25">
      <c r="A61">
        <f t="shared" si="12"/>
        <v>234</v>
      </c>
      <c r="B61">
        <v>3.9</v>
      </c>
      <c r="C61" s="2">
        <f t="shared" si="58"/>
        <v>802.64383714915209</v>
      </c>
      <c r="D61" s="2">
        <f t="shared" si="13"/>
        <v>21.497418329116037</v>
      </c>
      <c r="E61" s="2">
        <f t="shared" si="14"/>
        <v>787.28503275263415</v>
      </c>
      <c r="F61" s="25">
        <f t="shared" si="15"/>
        <v>14.006883607176977</v>
      </c>
      <c r="G61">
        <f t="shared" si="16"/>
        <v>2.3292062300881125E-5</v>
      </c>
      <c r="H61">
        <f t="shared" si="17"/>
        <v>4.060847138187818E-5</v>
      </c>
      <c r="I61" s="51">
        <f t="shared" si="59"/>
        <v>2.6019261842319761E-5</v>
      </c>
      <c r="J61" s="28">
        <f t="shared" si="52"/>
        <v>0.20874430819228582</v>
      </c>
      <c r="K61" s="24">
        <f t="shared" si="53"/>
        <v>8.3615691189520973</v>
      </c>
      <c r="L61" s="33">
        <f t="shared" si="54"/>
        <v>9.6411834888719454</v>
      </c>
      <c r="M61" s="39">
        <f t="shared" si="55"/>
        <v>788.6905161453019</v>
      </c>
      <c r="N61" s="40">
        <f t="shared" si="18"/>
        <v>390.35871918163338</v>
      </c>
      <c r="O61" s="32">
        <f t="shared" si="19"/>
        <v>772.00883513885083</v>
      </c>
      <c r="P61" s="32">
        <f t="shared" si="20"/>
        <v>21.111707447431343</v>
      </c>
      <c r="Q61" s="33">
        <f t="shared" si="21"/>
        <v>8.3491258661857</v>
      </c>
      <c r="R61" s="33">
        <f t="shared" si="22"/>
        <v>9.6376337794293399</v>
      </c>
      <c r="S61" s="39">
        <f t="shared" si="23"/>
        <v>804.00067655369321</v>
      </c>
      <c r="T61" s="36">
        <f t="shared" si="24"/>
        <v>608.31359964975525</v>
      </c>
      <c r="U61" s="36">
        <f t="shared" si="25"/>
        <v>11.939977834344244</v>
      </c>
      <c r="V61" s="37">
        <f t="shared" si="26"/>
        <v>11.632313600045554</v>
      </c>
      <c r="W61" s="40">
        <f t="shared" si="3"/>
        <v>1191.7564421246327</v>
      </c>
      <c r="X61" s="32">
        <f t="shared" si="27"/>
        <v>788.81966083841394</v>
      </c>
      <c r="Y61" s="32">
        <f t="shared" si="28"/>
        <v>21.53515802822379</v>
      </c>
      <c r="Z61" s="33">
        <f t="shared" si="29"/>
        <v>8.3631860879122488</v>
      </c>
      <c r="AA61" s="33">
        <f t="shared" si="30"/>
        <v>9.6416434036320453</v>
      </c>
      <c r="AB61" s="39">
        <f t="shared" si="4"/>
        <v>787.19368912947618</v>
      </c>
      <c r="AC61" s="36">
        <f t="shared" si="31"/>
        <v>1688.3641232390164</v>
      </c>
      <c r="AD61" s="36">
        <f t="shared" si="32"/>
        <v>34.010222535934197</v>
      </c>
      <c r="AE61" s="37">
        <f t="shared" si="33"/>
        <v>11.334405298747409</v>
      </c>
      <c r="AF61" s="40">
        <f t="shared" si="5"/>
        <v>423.85297622283974</v>
      </c>
      <c r="AG61" s="32">
        <f t="shared" si="34"/>
        <v>770.42415047429347</v>
      </c>
      <c r="AH61" s="32">
        <f t="shared" si="35"/>
        <v>21.070589754350529</v>
      </c>
      <c r="AI61" s="33">
        <f t="shared" si="36"/>
        <v>8.3482470650129255</v>
      </c>
      <c r="AJ61" s="33">
        <f t="shared" si="37"/>
        <v>9.6373823804773302</v>
      </c>
      <c r="AK61" s="39">
        <f t="shared" si="6"/>
        <v>805.63340913891898</v>
      </c>
      <c r="AL61" s="36">
        <f t="shared" si="38"/>
        <v>609.72420334415756</v>
      </c>
      <c r="AM61" s="36">
        <f t="shared" si="39"/>
        <v>12.57433129558143</v>
      </c>
      <c r="AN61" s="37">
        <f t="shared" si="40"/>
        <v>11.071096421046175</v>
      </c>
      <c r="AO61" s="40">
        <f t="shared" si="7"/>
        <v>1159.9622739507633</v>
      </c>
      <c r="AP61" s="32">
        <f t="shared" si="56"/>
        <v>790.67802318066879</v>
      </c>
      <c r="AQ61" s="32">
        <f t="shared" si="41"/>
        <v>21.580626204857111</v>
      </c>
      <c r="AR61" s="33">
        <f t="shared" si="42"/>
        <v>8.3652268373818437</v>
      </c>
      <c r="AS61" s="33">
        <f t="shared" si="43"/>
        <v>9.6422234081598717</v>
      </c>
      <c r="AT61" s="39">
        <f t="shared" si="8"/>
        <v>785.3907594310009</v>
      </c>
      <c r="AU61" s="36">
        <f t="shared" si="44"/>
        <v>1573.1125274472511</v>
      </c>
      <c r="AV61" s="36">
        <f t="shared" si="45"/>
        <v>32.860569272473583</v>
      </c>
      <c r="AW61" s="37">
        <f t="shared" si="46"/>
        <v>10.930167150568071</v>
      </c>
      <c r="AX61" s="40">
        <f t="shared" si="9"/>
        <v>446.7202042699812</v>
      </c>
      <c r="AY61" s="2">
        <f t="shared" si="57"/>
        <v>9.7992210408624913</v>
      </c>
      <c r="AZ61" s="2">
        <f t="shared" si="47"/>
        <v>795.55463356327232</v>
      </c>
      <c r="BA61" s="2">
        <f t="shared" si="48"/>
        <v>805.57297414205425</v>
      </c>
      <c r="BB61" s="44">
        <f t="shared" si="60"/>
        <v>805.57297414205425</v>
      </c>
      <c r="BC61">
        <f t="shared" si="49"/>
        <v>234</v>
      </c>
      <c r="BD61" s="2">
        <f t="shared" si="50"/>
        <v>26.019261842319761</v>
      </c>
      <c r="BE61" s="2">
        <f t="shared" si="51"/>
        <v>644.45837931364349</v>
      </c>
      <c r="BF61" s="2">
        <f t="shared" si="10"/>
        <v>16.623757317665049</v>
      </c>
      <c r="BG61" s="24">
        <f t="shared" si="61"/>
        <v>0.63890195726563126</v>
      </c>
    </row>
    <row r="62" spans="1:59" x14ac:dyDescent="0.25">
      <c r="A62">
        <f t="shared" si="12"/>
        <v>240</v>
      </c>
      <c r="B62">
        <v>4</v>
      </c>
      <c r="C62" s="2">
        <f t="shared" si="58"/>
        <v>805.57297414205425</v>
      </c>
      <c r="D62" s="2">
        <f t="shared" si="13"/>
        <v>21.578942152757413</v>
      </c>
      <c r="E62" s="2">
        <f t="shared" si="14"/>
        <v>790.60900852852524</v>
      </c>
      <c r="F62" s="25">
        <f t="shared" si="15"/>
        <v>14.37218584993157</v>
      </c>
      <c r="G62">
        <f t="shared" si="16"/>
        <v>2.2994146325983174E-5</v>
      </c>
      <c r="H62">
        <f t="shared" si="17"/>
        <v>4.0089070730078013E-5</v>
      </c>
      <c r="I62" s="51">
        <f t="shared" si="59"/>
        <v>2.5759561516419677E-5</v>
      </c>
      <c r="J62" s="28">
        <f t="shared" si="52"/>
        <v>0.20660561511467435</v>
      </c>
      <c r="K62" s="24">
        <f t="shared" si="53"/>
        <v>8.4940063891043689</v>
      </c>
      <c r="L62" s="33">
        <f t="shared" si="54"/>
        <v>9.6778287581612616</v>
      </c>
      <c r="M62" s="39">
        <f t="shared" si="55"/>
        <v>788.14917199760157</v>
      </c>
      <c r="N62" s="40">
        <f t="shared" si="18"/>
        <v>391.67919546376913</v>
      </c>
      <c r="O62" s="32">
        <f t="shared" si="19"/>
        <v>771.43452016707784</v>
      </c>
      <c r="P62" s="32">
        <f t="shared" si="20"/>
        <v>21.096830983006107</v>
      </c>
      <c r="Q62" s="33">
        <f t="shared" si="21"/>
        <v>8.4774028358697997</v>
      </c>
      <c r="R62" s="33">
        <f t="shared" si="22"/>
        <v>9.6733470714235459</v>
      </c>
      <c r="S62" s="39">
        <f t="shared" si="23"/>
        <v>807.36505918151499</v>
      </c>
      <c r="T62" s="36">
        <f t="shared" si="24"/>
        <v>608.35510319018806</v>
      </c>
      <c r="U62" s="36">
        <f t="shared" si="25"/>
        <v>11.964510731636643</v>
      </c>
      <c r="V62" s="37">
        <f t="shared" si="26"/>
        <v>11.788083065291088</v>
      </c>
      <c r="W62" s="40">
        <f t="shared" si="3"/>
        <v>1199.3071003476803</v>
      </c>
      <c r="X62" s="32">
        <f t="shared" si="27"/>
        <v>792.66297264868399</v>
      </c>
      <c r="Y62" s="32">
        <f t="shared" si="28"/>
        <v>21.628914275578794</v>
      </c>
      <c r="Z62" s="33">
        <f t="shared" si="29"/>
        <v>8.4963976050836294</v>
      </c>
      <c r="AA62" s="33">
        <f t="shared" si="30"/>
        <v>9.6784715785792237</v>
      </c>
      <c r="AB62" s="39">
        <f t="shared" si="4"/>
        <v>786.15911889429094</v>
      </c>
      <c r="AC62" s="36">
        <f t="shared" si="31"/>
        <v>1717.0247156511032</v>
      </c>
      <c r="AD62" s="36">
        <f t="shared" si="32"/>
        <v>34.286575959991062</v>
      </c>
      <c r="AE62" s="37">
        <f t="shared" si="33"/>
        <v>11.610031709108352</v>
      </c>
      <c r="AF62" s="40">
        <f t="shared" si="5"/>
        <v>421.70244878107951</v>
      </c>
      <c r="AG62" s="32">
        <f t="shared" si="34"/>
        <v>769.33490248601368</v>
      </c>
      <c r="AH62" s="32">
        <f t="shared" si="35"/>
        <v>21.042199542013194</v>
      </c>
      <c r="AI62" s="33">
        <f t="shared" si="36"/>
        <v>8.4762796479398101</v>
      </c>
      <c r="AJ62" s="33">
        <f t="shared" si="37"/>
        <v>9.673042744142835</v>
      </c>
      <c r="AK62" s="39">
        <f t="shared" si="6"/>
        <v>809.54299689805828</v>
      </c>
      <c r="AL62" s="36">
        <f t="shared" si="38"/>
        <v>609.60779014963441</v>
      </c>
      <c r="AM62" s="36">
        <f t="shared" si="39"/>
        <v>12.532847146479341</v>
      </c>
      <c r="AN62" s="37">
        <f t="shared" si="40"/>
        <v>11.276692573477597</v>
      </c>
      <c r="AO62" s="40">
        <f t="shared" si="7"/>
        <v>1170.5940945339505</v>
      </c>
      <c r="AP62" s="32">
        <f t="shared" si="56"/>
        <v>795.18003355598626</v>
      </c>
      <c r="AQ62" s="32">
        <f t="shared" si="41"/>
        <v>21.689742704397858</v>
      </c>
      <c r="AR62" s="33">
        <f t="shared" si="42"/>
        <v>8.4994738495329116</v>
      </c>
      <c r="AS62" s="33">
        <f t="shared" si="43"/>
        <v>9.6792975823482426</v>
      </c>
      <c r="AT62" s="39">
        <f t="shared" si="8"/>
        <v>783.7374947000892</v>
      </c>
      <c r="AU62" s="36">
        <f t="shared" si="44"/>
        <v>1610.6861847356922</v>
      </c>
      <c r="AV62" s="36">
        <f t="shared" si="45"/>
        <v>33.242487990890304</v>
      </c>
      <c r="AW62" s="37">
        <f t="shared" si="46"/>
        <v>11.233068019350632</v>
      </c>
      <c r="AX62" s="40">
        <f t="shared" si="9"/>
        <v>442.18522517536638</v>
      </c>
      <c r="AY62" s="2">
        <f t="shared" si="57"/>
        <v>9.982178663206728</v>
      </c>
      <c r="AZ62" s="2">
        <f t="shared" si="47"/>
        <v>796.70116741848824</v>
      </c>
      <c r="BA62" s="2">
        <f t="shared" si="48"/>
        <v>808.44721720951918</v>
      </c>
      <c r="BB62" s="44">
        <f t="shared" si="60"/>
        <v>808.44721720951918</v>
      </c>
      <c r="BC62">
        <f t="shared" si="49"/>
        <v>240</v>
      </c>
      <c r="BD62" s="2">
        <f t="shared" si="50"/>
        <v>25.759561516419677</v>
      </c>
      <c r="BE62" s="2">
        <f t="shared" si="51"/>
        <v>646.75777376761539</v>
      </c>
      <c r="BF62" s="2">
        <f t="shared" si="10"/>
        <v>16.30631367859986</v>
      </c>
      <c r="BG62" s="24">
        <f t="shared" si="61"/>
        <v>0.63301984656089272</v>
      </c>
    </row>
    <row r="63" spans="1:59" x14ac:dyDescent="0.25">
      <c r="A63">
        <f t="shared" si="12"/>
        <v>245.99999999999997</v>
      </c>
      <c r="B63">
        <v>4.0999999999999996</v>
      </c>
      <c r="C63" s="2">
        <f t="shared" si="58"/>
        <v>808.44721720951918</v>
      </c>
      <c r="D63" s="2">
        <f t="shared" si="13"/>
        <v>21.659124986752211</v>
      </c>
      <c r="E63" s="2">
        <f t="shared" si="14"/>
        <v>793.91076524965376</v>
      </c>
      <c r="F63" s="25">
        <f t="shared" si="15"/>
        <v>14.738248186839501</v>
      </c>
      <c r="G63">
        <f t="shared" si="16"/>
        <v>2.2706791396047679E-5</v>
      </c>
      <c r="H63">
        <f t="shared" si="17"/>
        <v>3.9588082698276051E-5</v>
      </c>
      <c r="I63" s="51">
        <f t="shared" si="59"/>
        <v>2.5509067500518696E-5</v>
      </c>
      <c r="J63" s="28">
        <f t="shared" si="52"/>
        <v>0.20453748151170298</v>
      </c>
      <c r="K63" s="24">
        <f t="shared" si="53"/>
        <v>8.6256481994577108</v>
      </c>
      <c r="L63" s="33">
        <f t="shared" si="54"/>
        <v>9.71224756542947</v>
      </c>
      <c r="M63" s="39">
        <f t="shared" si="55"/>
        <v>787.43546096169916</v>
      </c>
      <c r="N63" s="40">
        <f t="shared" si="18"/>
        <v>392.94775995951829</v>
      </c>
      <c r="O63" s="32">
        <f t="shared" si="19"/>
        <v>770.6794120014207</v>
      </c>
      <c r="P63" s="32">
        <f t="shared" si="20"/>
        <v>21.077227804659479</v>
      </c>
      <c r="Q63" s="33">
        <f t="shared" si="21"/>
        <v>8.6044125639187499</v>
      </c>
      <c r="R63" s="33">
        <f t="shared" si="22"/>
        <v>9.7068276506366473</v>
      </c>
      <c r="S63" s="39">
        <f t="shared" si="23"/>
        <v>810.71923432961546</v>
      </c>
      <c r="T63" s="36">
        <f t="shared" si="24"/>
        <v>608.39589218353581</v>
      </c>
      <c r="U63" s="36">
        <f t="shared" si="25"/>
        <v>11.988115953843145</v>
      </c>
      <c r="V63" s="37">
        <f t="shared" si="26"/>
        <v>11.942528763579769</v>
      </c>
      <c r="W63" s="40">
        <f t="shared" si="3"/>
        <v>1206.7088787340881</v>
      </c>
      <c r="X63" s="32">
        <f t="shared" si="27"/>
        <v>796.54897357667846</v>
      </c>
      <c r="Y63" s="32">
        <f t="shared" si="28"/>
        <v>21.722638462531201</v>
      </c>
      <c r="Z63" s="33">
        <f t="shared" si="29"/>
        <v>8.6290078886362753</v>
      </c>
      <c r="AA63" s="33">
        <f t="shared" si="30"/>
        <v>9.7131004454502268</v>
      </c>
      <c r="AB63" s="39">
        <f t="shared" si="4"/>
        <v>784.89635656530913</v>
      </c>
      <c r="AC63" s="36">
        <f t="shared" si="31"/>
        <v>1745.6096181454836</v>
      </c>
      <c r="AD63" s="36">
        <f t="shared" si="32"/>
        <v>34.558719950944365</v>
      </c>
      <c r="AE63" s="37">
        <f t="shared" si="33"/>
        <v>11.886402602520622</v>
      </c>
      <c r="AF63" s="40">
        <f t="shared" si="5"/>
        <v>419.58381286215695</v>
      </c>
      <c r="AG63" s="32">
        <f t="shared" si="34"/>
        <v>768.01208211953576</v>
      </c>
      <c r="AH63" s="32">
        <f t="shared" si="35"/>
        <v>21.007579875625702</v>
      </c>
      <c r="AI63" s="33">
        <f t="shared" si="36"/>
        <v>8.6030606893278598</v>
      </c>
      <c r="AJ63" s="33">
        <f t="shared" si="37"/>
        <v>9.7064809095842897</v>
      </c>
      <c r="AK63" s="39">
        <f t="shared" si="6"/>
        <v>813.50582691143779</v>
      </c>
      <c r="AL63" s="36">
        <f t="shared" si="38"/>
        <v>609.49702322941584</v>
      </c>
      <c r="AM63" s="36">
        <f t="shared" si="39"/>
        <v>12.492079493684972</v>
      </c>
      <c r="AN63" s="37">
        <f t="shared" si="40"/>
        <v>11.48147825138987</v>
      </c>
      <c r="AO63" s="40">
        <f t="shared" si="7"/>
        <v>1181.0490868893105</v>
      </c>
      <c r="AP63" s="32">
        <f t="shared" si="56"/>
        <v>799.81894593703794</v>
      </c>
      <c r="AQ63" s="32">
        <f t="shared" si="41"/>
        <v>21.800694600961577</v>
      </c>
      <c r="AR63" s="33">
        <f t="shared" si="42"/>
        <v>8.6334089692553047</v>
      </c>
      <c r="AS63" s="33">
        <f t="shared" si="43"/>
        <v>9.7142157917606156</v>
      </c>
      <c r="AT63" s="39">
        <f t="shared" si="8"/>
        <v>781.77715401893079</v>
      </c>
      <c r="AU63" s="36">
        <f t="shared" si="44"/>
        <v>1648.5773606575203</v>
      </c>
      <c r="AV63" s="36">
        <f t="shared" si="45"/>
        <v>33.620523824444263</v>
      </c>
      <c r="AW63" s="37">
        <f t="shared" si="46"/>
        <v>11.538937304938266</v>
      </c>
      <c r="AX63" s="40">
        <f t="shared" si="9"/>
        <v>437.737958978667</v>
      </c>
      <c r="AY63" s="2">
        <f t="shared" si="57"/>
        <v>10.164904629195838</v>
      </c>
      <c r="AZ63" s="2">
        <f t="shared" si="47"/>
        <v>797.72464295632335</v>
      </c>
      <c r="BA63" s="2">
        <f t="shared" si="48"/>
        <v>811.26993436605562</v>
      </c>
      <c r="BB63" s="44">
        <f t="shared" si="60"/>
        <v>811.26993436605562</v>
      </c>
      <c r="BC63">
        <f t="shared" si="49"/>
        <v>245.99999999999997</v>
      </c>
      <c r="BD63" s="2">
        <f t="shared" si="50"/>
        <v>25.509067500518697</v>
      </c>
      <c r="BE63" s="2">
        <f t="shared" si="51"/>
        <v>649.01594749284459</v>
      </c>
      <c r="BF63" s="2">
        <f t="shared" si="10"/>
        <v>16.001950569319341</v>
      </c>
      <c r="BG63" s="24">
        <f t="shared" si="61"/>
        <v>0.62730441122530101</v>
      </c>
    </row>
    <row r="64" spans="1:59" x14ac:dyDescent="0.25">
      <c r="A64">
        <f t="shared" si="12"/>
        <v>252</v>
      </c>
      <c r="B64">
        <v>4.2</v>
      </c>
      <c r="C64" s="2">
        <f t="shared" si="58"/>
        <v>811.26993436605562</v>
      </c>
      <c r="D64" s="2">
        <f t="shared" si="13"/>
        <v>21.738050507225275</v>
      </c>
      <c r="E64" s="2">
        <f t="shared" si="14"/>
        <v>797.19220362930525</v>
      </c>
      <c r="F64" s="25">
        <f t="shared" si="15"/>
        <v>15.10507775139428</v>
      </c>
      <c r="G64">
        <f t="shared" si="16"/>
        <v>2.2429377500038253E-5</v>
      </c>
      <c r="H64">
        <f t="shared" si="17"/>
        <v>3.9104426330217647E-5</v>
      </c>
      <c r="I64" s="51">
        <f t="shared" si="59"/>
        <v>2.5267239316489494E-5</v>
      </c>
      <c r="J64" s="28">
        <f t="shared" si="52"/>
        <v>0.2025359234017918</v>
      </c>
      <c r="K64" s="24">
        <f t="shared" si="53"/>
        <v>8.7565302341834546</v>
      </c>
      <c r="L64" s="33">
        <f t="shared" si="54"/>
        <v>9.7445562095525347</v>
      </c>
      <c r="M64" s="39">
        <f t="shared" si="55"/>
        <v>786.56005522647354</v>
      </c>
      <c r="N64" s="40">
        <f t="shared" si="18"/>
        <v>394.16637208831014</v>
      </c>
      <c r="O64" s="32">
        <f t="shared" si="19"/>
        <v>769.75644288832359</v>
      </c>
      <c r="P64" s="32">
        <f t="shared" si="20"/>
        <v>21.053199011676149</v>
      </c>
      <c r="Q64" s="33">
        <f t="shared" si="21"/>
        <v>8.7302129873434602</v>
      </c>
      <c r="R64" s="33">
        <f t="shared" si="22"/>
        <v>9.7382093811379669</v>
      </c>
      <c r="S64" s="39">
        <f t="shared" si="23"/>
        <v>814.06417035545599</v>
      </c>
      <c r="T64" s="36">
        <f t="shared" si="24"/>
        <v>608.43594106544651</v>
      </c>
      <c r="U64" s="36">
        <f t="shared" si="25"/>
        <v>12.010825617422121</v>
      </c>
      <c r="V64" s="37">
        <f t="shared" si="26"/>
        <v>12.095716552024411</v>
      </c>
      <c r="W64" s="40">
        <f t="shared" si="3"/>
        <v>1213.9687936285363</v>
      </c>
      <c r="X64" s="32">
        <f t="shared" si="27"/>
        <v>800.47869914621538</v>
      </c>
      <c r="Y64" s="32">
        <f t="shared" si="28"/>
        <v>21.816355455603571</v>
      </c>
      <c r="Z64" s="33">
        <f t="shared" si="29"/>
        <v>8.7610706200337933</v>
      </c>
      <c r="AA64" s="33">
        <f t="shared" si="30"/>
        <v>9.7456436767807784</v>
      </c>
      <c r="AB64" s="39">
        <f t="shared" si="4"/>
        <v>783.41812264372413</v>
      </c>
      <c r="AC64" s="36">
        <f t="shared" si="31"/>
        <v>1774.1214112236717</v>
      </c>
      <c r="AD64" s="36">
        <f t="shared" si="32"/>
        <v>34.826840150756176</v>
      </c>
      <c r="AE64" s="37">
        <f t="shared" si="33"/>
        <v>12.16350861159378</v>
      </c>
      <c r="AF64" s="40">
        <f t="shared" si="5"/>
        <v>417.49634615082374</v>
      </c>
      <c r="AG64" s="32">
        <f t="shared" si="34"/>
        <v>766.47284576765264</v>
      </c>
      <c r="AH64" s="32">
        <f t="shared" si="35"/>
        <v>20.967098259091486</v>
      </c>
      <c r="AI64" s="33">
        <f t="shared" si="36"/>
        <v>8.7286694096395774</v>
      </c>
      <c r="AJ64" s="33">
        <f t="shared" si="37"/>
        <v>9.7378348068727565</v>
      </c>
      <c r="AK64" s="39">
        <f t="shared" si="6"/>
        <v>817.5202037910434</v>
      </c>
      <c r="AL64" s="36">
        <f t="shared" si="38"/>
        <v>609.391595655792</v>
      </c>
      <c r="AM64" s="36">
        <f t="shared" si="39"/>
        <v>12.452009948553121</v>
      </c>
      <c r="AN64" s="37">
        <f t="shared" si="40"/>
        <v>11.685481271169373</v>
      </c>
      <c r="AO64" s="40">
        <f t="shared" si="7"/>
        <v>1191.3336919867902</v>
      </c>
      <c r="AP64" s="32">
        <f t="shared" si="56"/>
        <v>804.59644477914799</v>
      </c>
      <c r="AQ64" s="32">
        <f t="shared" si="41"/>
        <v>21.9134483776214</v>
      </c>
      <c r="AR64" s="33">
        <f t="shared" si="42"/>
        <v>8.7671207158167874</v>
      </c>
      <c r="AS64" s="33">
        <f t="shared" si="43"/>
        <v>9.7470893078238703</v>
      </c>
      <c r="AT64" s="39">
        <f t="shared" si="8"/>
        <v>779.52437743029577</v>
      </c>
      <c r="AU64" s="36">
        <f t="shared" si="44"/>
        <v>1686.7742767626723</v>
      </c>
      <c r="AV64" s="36">
        <f t="shared" si="45"/>
        <v>33.994787670734496</v>
      </c>
      <c r="AW64" s="37">
        <f t="shared" si="46"/>
        <v>11.847705183851312</v>
      </c>
      <c r="AX64" s="40">
        <f t="shared" si="9"/>
        <v>433.37787196682416</v>
      </c>
      <c r="AY64" s="2">
        <f t="shared" si="57"/>
        <v>10.347435668934063</v>
      </c>
      <c r="AZ64" s="2">
        <f t="shared" si="47"/>
        <v>798.63171855512985</v>
      </c>
      <c r="BA64" s="2">
        <f t="shared" si="48"/>
        <v>814.04417593324365</v>
      </c>
      <c r="BB64" s="44">
        <f t="shared" si="60"/>
        <v>814.04417593324365</v>
      </c>
      <c r="BC64">
        <f t="shared" si="49"/>
        <v>252</v>
      </c>
      <c r="BD64" s="2">
        <f t="shared" si="50"/>
        <v>25.267239316489494</v>
      </c>
      <c r="BE64" s="2">
        <f t="shared" si="51"/>
        <v>651.23534074659494</v>
      </c>
      <c r="BF64" s="2">
        <f t="shared" si="10"/>
        <v>15.709827701172889</v>
      </c>
      <c r="BG64" s="24">
        <f t="shared" si="61"/>
        <v>0.62174689939001759</v>
      </c>
    </row>
    <row r="65" spans="1:59" x14ac:dyDescent="0.25">
      <c r="A65">
        <f t="shared" si="12"/>
        <v>258</v>
      </c>
      <c r="B65">
        <v>4.3</v>
      </c>
      <c r="C65" s="2">
        <f t="shared" si="58"/>
        <v>814.04417593324365</v>
      </c>
      <c r="D65" s="2">
        <f t="shared" si="13"/>
        <v>21.815794515817792</v>
      </c>
      <c r="E65" s="2">
        <f t="shared" si="14"/>
        <v>800.45504689460222</v>
      </c>
      <c r="F65" s="25">
        <f t="shared" si="15"/>
        <v>15.472681788020299</v>
      </c>
      <c r="G65">
        <f t="shared" si="16"/>
        <v>2.2161334349986299E-5</v>
      </c>
      <c r="H65">
        <f t="shared" si="17"/>
        <v>3.8637107359171388E-5</v>
      </c>
      <c r="I65" s="51">
        <f t="shared" si="59"/>
        <v>2.5033579830966365E-5</v>
      </c>
      <c r="J65" s="28">
        <f t="shared" si="52"/>
        <v>0.20059726748985249</v>
      </c>
      <c r="K65" s="24">
        <f t="shared" si="53"/>
        <v>8.8866862060234642</v>
      </c>
      <c r="L65" s="33">
        <f t="shared" si="54"/>
        <v>9.7748657818927107</v>
      </c>
      <c r="M65" s="39">
        <f t="shared" si="55"/>
        <v>785.53312637875274</v>
      </c>
      <c r="N65" s="40">
        <f t="shared" si="18"/>
        <v>395.336894195029</v>
      </c>
      <c r="O65" s="32">
        <f t="shared" si="19"/>
        <v>768.67822052325664</v>
      </c>
      <c r="P65" s="32">
        <f t="shared" si="20"/>
        <v>21.025032978589181</v>
      </c>
      <c r="Q65" s="33">
        <f t="shared" si="21"/>
        <v>8.8548625202275719</v>
      </c>
      <c r="R65" s="33">
        <f t="shared" si="22"/>
        <v>9.7676187978857456</v>
      </c>
      <c r="S65" s="39">
        <f t="shared" si="23"/>
        <v>817.40026559949183</v>
      </c>
      <c r="T65" s="36">
        <f t="shared" si="24"/>
        <v>608.47522606417738</v>
      </c>
      <c r="U65" s="36">
        <f t="shared" si="25"/>
        <v>12.032670412007027</v>
      </c>
      <c r="V65" s="37">
        <f t="shared" si="26"/>
        <v>12.247707669998706</v>
      </c>
      <c r="W65" s="40">
        <f t="shared" si="3"/>
        <v>1221.0933654837397</v>
      </c>
      <c r="X65" s="32">
        <f t="shared" si="27"/>
        <v>804.45255911284016</v>
      </c>
      <c r="Y65" s="32">
        <f t="shared" si="28"/>
        <v>21.910074383250752</v>
      </c>
      <c r="Z65" s="33">
        <f t="shared" si="29"/>
        <v>8.8926360444082899</v>
      </c>
      <c r="AA65" s="33">
        <f t="shared" si="30"/>
        <v>9.7762090912978739</v>
      </c>
      <c r="AB65" s="39">
        <f t="shared" si="4"/>
        <v>781.73704456020096</v>
      </c>
      <c r="AC65" s="36">
        <f t="shared" si="31"/>
        <v>1802.5625842557079</v>
      </c>
      <c r="AD65" s="36">
        <f t="shared" si="32"/>
        <v>35.091109730008469</v>
      </c>
      <c r="AE65" s="37">
        <f t="shared" si="33"/>
        <v>12.44134066226529</v>
      </c>
      <c r="AF65" s="40">
        <f t="shared" si="5"/>
        <v>415.43932607843482</v>
      </c>
      <c r="AG65" s="32">
        <f t="shared" si="34"/>
        <v>764.73454926932186</v>
      </c>
      <c r="AH65" s="32">
        <f t="shared" si="35"/>
        <v>20.921121214163612</v>
      </c>
      <c r="AI65" s="33">
        <f t="shared" si="36"/>
        <v>8.8531880241493965</v>
      </c>
      <c r="AJ65" s="33">
        <f t="shared" si="37"/>
        <v>9.767234568517269</v>
      </c>
      <c r="AK65" s="39">
        <f t="shared" si="6"/>
        <v>821.58320955258591</v>
      </c>
      <c r="AL65" s="36">
        <f t="shared" si="38"/>
        <v>609.2912165770299</v>
      </c>
      <c r="AM65" s="36">
        <f t="shared" si="39"/>
        <v>12.412620318998275</v>
      </c>
      <c r="AN65" s="37">
        <f t="shared" si="40"/>
        <v>11.888727658744473</v>
      </c>
      <c r="AO65" s="40">
        <f t="shared" si="7"/>
        <v>1201.4539736984332</v>
      </c>
      <c r="AP65" s="32">
        <f t="shared" si="56"/>
        <v>809.5126801320099</v>
      </c>
      <c r="AQ65" s="32">
        <f t="shared" si="41"/>
        <v>22.027935584256152</v>
      </c>
      <c r="AR65" s="33">
        <f t="shared" si="42"/>
        <v>8.900692358322372</v>
      </c>
      <c r="AS65" s="33">
        <f t="shared" si="43"/>
        <v>9.7780221853227509</v>
      </c>
      <c r="AT65" s="39">
        <f t="shared" si="8"/>
        <v>776.99461870699099</v>
      </c>
      <c r="AU65" s="36">
        <f t="shared" si="44"/>
        <v>1725.2656419232535</v>
      </c>
      <c r="AV65" s="36">
        <f t="shared" si="45"/>
        <v>34.365384511975073</v>
      </c>
      <c r="AW65" s="37">
        <f t="shared" si="46"/>
        <v>12.159303490087618</v>
      </c>
      <c r="AX65" s="40">
        <f t="shared" si="9"/>
        <v>429.10417686086737</v>
      </c>
      <c r="AY65" s="2">
        <f t="shared" si="57"/>
        <v>10.529807303525464</v>
      </c>
      <c r="AZ65" s="2">
        <f t="shared" si="47"/>
        <v>799.42878460481745</v>
      </c>
      <c r="BA65" s="2">
        <f t="shared" si="48"/>
        <v>816.77271053036873</v>
      </c>
      <c r="BB65" s="44">
        <f t="shared" si="60"/>
        <v>816.77271053036873</v>
      </c>
      <c r="BC65">
        <f t="shared" si="49"/>
        <v>258</v>
      </c>
      <c r="BD65" s="2">
        <f t="shared" si="50"/>
        <v>25.033579830966364</v>
      </c>
      <c r="BE65" s="2">
        <f t="shared" si="51"/>
        <v>653.418168424295</v>
      </c>
      <c r="BF65" s="2">
        <f t="shared" si="10"/>
        <v>15.429176336266877</v>
      </c>
      <c r="BG65" s="24">
        <f t="shared" si="61"/>
        <v>0.61633919081685207</v>
      </c>
    </row>
    <row r="66" spans="1:59" x14ac:dyDescent="0.25">
      <c r="A66">
        <f t="shared" si="12"/>
        <v>264</v>
      </c>
      <c r="B66">
        <v>4.4000000000000004</v>
      </c>
      <c r="C66" s="2">
        <f t="shared" si="58"/>
        <v>816.77271053036873</v>
      </c>
      <c r="D66" s="2">
        <f t="shared" si="13"/>
        <v>21.892425816880028</v>
      </c>
      <c r="E66" s="2">
        <f t="shared" si="14"/>
        <v>803.7008582713554</v>
      </c>
      <c r="F66" s="25">
        <f t="shared" si="15"/>
        <v>15.841067599525898</v>
      </c>
      <c r="G66">
        <f t="shared" si="16"/>
        <v>2.1902136402975179E-5</v>
      </c>
      <c r="H66">
        <f t="shared" si="17"/>
        <v>3.8185209529023283E-5</v>
      </c>
      <c r="I66" s="51">
        <f t="shared" si="59"/>
        <v>2.4807630915892313E-5</v>
      </c>
      <c r="J66" s="28">
        <f t="shared" si="52"/>
        <v>0.19871812076174056</v>
      </c>
      <c r="K66" s="24">
        <f t="shared" si="53"/>
        <v>9.0161479962510889</v>
      </c>
      <c r="L66" s="33">
        <f t="shared" si="54"/>
        <v>9.8032825813965285</v>
      </c>
      <c r="M66" s="39">
        <f t="shared" si="55"/>
        <v>784.36438053359416</v>
      </c>
      <c r="N66" s="40">
        <f t="shared" si="18"/>
        <v>396.46109843654716</v>
      </c>
      <c r="O66" s="32">
        <f t="shared" si="19"/>
        <v>767.45699867257622</v>
      </c>
      <c r="P66" s="32">
        <f t="shared" si="20"/>
        <v>20.993006009078201</v>
      </c>
      <c r="Q66" s="33">
        <f t="shared" si="21"/>
        <v>8.9784197932721312</v>
      </c>
      <c r="R66" s="33">
        <f t="shared" si="22"/>
        <v>9.7951754686589663</v>
      </c>
      <c r="S66" s="39">
        <f t="shared" si="23"/>
        <v>820.72742029985</v>
      </c>
      <c r="T66" s="36">
        <f t="shared" si="24"/>
        <v>608.51372530568767</v>
      </c>
      <c r="U66" s="36">
        <f t="shared" si="25"/>
        <v>12.053679695470246</v>
      </c>
      <c r="V66" s="37">
        <f t="shared" si="26"/>
        <v>12.398559148048411</v>
      </c>
      <c r="W66" s="40">
        <f t="shared" si="3"/>
        <v>1228.0886636183445</v>
      </c>
      <c r="X66" s="32">
        <f t="shared" si="27"/>
        <v>808.47037874356192</v>
      </c>
      <c r="Y66" s="32">
        <f t="shared" si="28"/>
        <v>22.003790449783452</v>
      </c>
      <c r="Z66" s="33">
        <f t="shared" si="29"/>
        <v>9.0237509123680741</v>
      </c>
      <c r="AA66" s="33">
        <f t="shared" si="30"/>
        <v>9.8048992122096976</v>
      </c>
      <c r="AB66" s="39">
        <f t="shared" si="4"/>
        <v>779.86565606357203</v>
      </c>
      <c r="AC66" s="36">
        <f t="shared" si="31"/>
        <v>1830.9355329610589</v>
      </c>
      <c r="AD66" s="36">
        <f t="shared" si="32"/>
        <v>35.351690452660527</v>
      </c>
      <c r="AE66" s="37">
        <f t="shared" si="33"/>
        <v>12.7198899479449</v>
      </c>
      <c r="AF66" s="40">
        <f t="shared" si="5"/>
        <v>413.41203514343454</v>
      </c>
      <c r="AG66" s="32">
        <f t="shared" si="34"/>
        <v>762.81462225928817</v>
      </c>
      <c r="AH66" s="32">
        <f t="shared" si="35"/>
        <v>20.870013687427893</v>
      </c>
      <c r="AI66" s="33">
        <f t="shared" si="36"/>
        <v>8.9767010461892021</v>
      </c>
      <c r="AJ66" s="33">
        <f t="shared" si="37"/>
        <v>9.7948027602311658</v>
      </c>
      <c r="AK66" s="39">
        <f t="shared" si="6"/>
        <v>825.69082649424695</v>
      </c>
      <c r="AL66" s="36">
        <f t="shared" si="38"/>
        <v>609.19561065227776</v>
      </c>
      <c r="AM66" s="36">
        <f t="shared" si="39"/>
        <v>12.373892706084614</v>
      </c>
      <c r="AN66" s="37">
        <f t="shared" si="40"/>
        <v>12.091241795429385</v>
      </c>
      <c r="AO66" s="40">
        <f t="shared" si="7"/>
        <v>1211.4156481943417</v>
      </c>
      <c r="AP66" s="32">
        <f t="shared" si="56"/>
        <v>814.56628926437554</v>
      </c>
      <c r="AQ66" s="32">
        <f t="shared" si="41"/>
        <v>22.144055734889136</v>
      </c>
      <c r="AR66" s="33">
        <f t="shared" si="42"/>
        <v>9.0342010973505058</v>
      </c>
      <c r="AS66" s="33">
        <f t="shared" si="43"/>
        <v>9.8071119617959504</v>
      </c>
      <c r="AT66" s="39">
        <f t="shared" si="8"/>
        <v>774.20411352676194</v>
      </c>
      <c r="AU66" s="36">
        <f t="shared" si="44"/>
        <v>1764.0406209889586</v>
      </c>
      <c r="AV66" s="36">
        <f t="shared" si="45"/>
        <v>34.732413839397751</v>
      </c>
      <c r="AW66" s="37">
        <f t="shared" si="46"/>
        <v>12.473665711805717</v>
      </c>
      <c r="AX66" s="40">
        <f t="shared" si="9"/>
        <v>424.91587885361673</v>
      </c>
      <c r="AY66" s="2">
        <f t="shared" si="57"/>
        <v>10.712053681551041</v>
      </c>
      <c r="AZ66" s="2">
        <f t="shared" si="47"/>
        <v>800.12200409610784</v>
      </c>
      <c r="BA66" s="2">
        <f t="shared" si="48"/>
        <v>819.45805645243433</v>
      </c>
      <c r="BB66" s="44">
        <f t="shared" si="60"/>
        <v>819.45805645243433</v>
      </c>
      <c r="BC66">
        <f t="shared" si="49"/>
        <v>264</v>
      </c>
      <c r="BD66" s="2">
        <f t="shared" si="50"/>
        <v>24.807630915892311</v>
      </c>
      <c r="BE66" s="2">
        <f t="shared" si="51"/>
        <v>655.56644516194751</v>
      </c>
      <c r="BF66" s="2">
        <f t="shared" si="10"/>
        <v>15.159291961866991</v>
      </c>
      <c r="BG66" s="24">
        <f t="shared" si="61"/>
        <v>0.61107374635099143</v>
      </c>
    </row>
    <row r="67" spans="1:59" x14ac:dyDescent="0.25">
      <c r="A67">
        <f t="shared" si="12"/>
        <v>270</v>
      </c>
      <c r="B67">
        <v>4.5</v>
      </c>
      <c r="C67" s="2">
        <f t="shared" si="58"/>
        <v>819.45805645243433</v>
      </c>
      <c r="D67" s="2">
        <f t="shared" si="13"/>
        <v>21.968006984752677</v>
      </c>
      <c r="E67" s="2">
        <f t="shared" si="14"/>
        <v>806.93105664051313</v>
      </c>
      <c r="F67" s="25">
        <f t="shared" si="15"/>
        <v>16.210242502176449</v>
      </c>
      <c r="G67">
        <f t="shared" si="16"/>
        <v>2.1651298475282938E-5</v>
      </c>
      <c r="H67">
        <f t="shared" si="17"/>
        <v>3.7747886947768007E-5</v>
      </c>
      <c r="I67" s="51">
        <f t="shared" si="59"/>
        <v>2.4588969625264675E-5</v>
      </c>
      <c r="J67" s="28">
        <f t="shared" si="52"/>
        <v>0.19689534362653441</v>
      </c>
      <c r="K67" s="24">
        <f t="shared" si="53"/>
        <v>9.14494578223578</v>
      </c>
      <c r="L67" s="33">
        <f t="shared" si="54"/>
        <v>9.829908491265579</v>
      </c>
      <c r="M67" s="39">
        <f t="shared" si="55"/>
        <v>783.06309011714245</v>
      </c>
      <c r="N67" s="40">
        <f t="shared" si="18"/>
        <v>397.54067295061361</v>
      </c>
      <c r="O67" s="32">
        <f t="shared" si="19"/>
        <v>766.10465312494034</v>
      </c>
      <c r="P67" s="32">
        <f t="shared" si="20"/>
        <v>20.957382939712989</v>
      </c>
      <c r="Q67" s="33">
        <f t="shared" si="21"/>
        <v>9.1009434006613557</v>
      </c>
      <c r="R67" s="33">
        <f t="shared" si="22"/>
        <v>9.8209923602475868</v>
      </c>
      <c r="S67" s="39">
        <f t="shared" si="23"/>
        <v>824.04510258374773</v>
      </c>
      <c r="T67" s="36">
        <f t="shared" si="24"/>
        <v>608.55141887803848</v>
      </c>
      <c r="U67" s="36">
        <f t="shared" si="25"/>
        <v>12.073881578855325</v>
      </c>
      <c r="V67" s="37">
        <f t="shared" si="26"/>
        <v>12.548324173697695</v>
      </c>
      <c r="W67" s="40">
        <f t="shared" si="3"/>
        <v>1234.9603461128443</v>
      </c>
      <c r="X67" s="32">
        <f t="shared" si="27"/>
        <v>812.53143932364731</v>
      </c>
      <c r="Y67" s="32">
        <f t="shared" si="28"/>
        <v>22.09748661560571</v>
      </c>
      <c r="Z67" s="33">
        <f t="shared" si="29"/>
        <v>9.1544584318604549</v>
      </c>
      <c r="AA67" s="33">
        <f t="shared" si="30"/>
        <v>9.8318117921834904</v>
      </c>
      <c r="AB67" s="39">
        <f t="shared" si="4"/>
        <v>777.8163927324764</v>
      </c>
      <c r="AC67" s="36">
        <f t="shared" si="31"/>
        <v>1859.2425581415232</v>
      </c>
      <c r="AD67" s="36">
        <f t="shared" si="32"/>
        <v>35.608733631305086</v>
      </c>
      <c r="AE67" s="37">
        <f t="shared" si="33"/>
        <v>12.999147906315638</v>
      </c>
      <c r="AF67" s="40">
        <f t="shared" si="5"/>
        <v>411.41376498496942</v>
      </c>
      <c r="AG67" s="32">
        <f t="shared" si="34"/>
        <v>760.73044830996514</v>
      </c>
      <c r="AH67" s="32">
        <f t="shared" si="35"/>
        <v>20.814138393630571</v>
      </c>
      <c r="AI67" s="33">
        <f t="shared" si="36"/>
        <v>9.0992945525358806</v>
      </c>
      <c r="AJ67" s="33">
        <f t="shared" si="37"/>
        <v>9.8206546519936282</v>
      </c>
      <c r="AK67" s="39">
        <f t="shared" si="6"/>
        <v>829.83805972031723</v>
      </c>
      <c r="AL67" s="36">
        <f t="shared" si="38"/>
        <v>609.10451741784061</v>
      </c>
      <c r="AM67" s="36">
        <f t="shared" si="39"/>
        <v>12.335809575566406</v>
      </c>
      <c r="AN67" s="37">
        <f t="shared" si="40"/>
        <v>12.293046549131724</v>
      </c>
      <c r="AO67" s="40">
        <f t="shared" si="7"/>
        <v>1221.2241105355145</v>
      </c>
      <c r="AP67" s="32">
        <f t="shared" si="56"/>
        <v>819.7544260344298</v>
      </c>
      <c r="AQ67" s="32">
        <f t="shared" si="41"/>
        <v>22.261679246489784</v>
      </c>
      <c r="AR67" s="33">
        <f t="shared" si="42"/>
        <v>9.1677172752721034</v>
      </c>
      <c r="AS67" s="33">
        <f t="shared" si="43"/>
        <v>9.834450370114391</v>
      </c>
      <c r="AT67" s="39">
        <f t="shared" si="8"/>
        <v>771.1698331735646</v>
      </c>
      <c r="AU67" s="36">
        <f t="shared" si="44"/>
        <v>1803.0888061317103</v>
      </c>
      <c r="AV67" s="36">
        <f t="shared" si="45"/>
        <v>35.095970040775249</v>
      </c>
      <c r="AW67" s="37">
        <f t="shared" si="46"/>
        <v>12.790726978636922</v>
      </c>
      <c r="AX67" s="40">
        <f t="shared" si="9"/>
        <v>420.81181472088923</v>
      </c>
      <c r="AY67" s="2">
        <f t="shared" si="57"/>
        <v>10.894207408513971</v>
      </c>
      <c r="AZ67" s="2">
        <f t="shared" si="47"/>
        <v>800.71734705252652</v>
      </c>
      <c r="BA67" s="2">
        <f t="shared" si="48"/>
        <v>822.10250908855437</v>
      </c>
      <c r="BB67" s="44">
        <f t="shared" si="60"/>
        <v>822.10250908855437</v>
      </c>
      <c r="BC67">
        <f t="shared" si="49"/>
        <v>270</v>
      </c>
      <c r="BD67" s="2">
        <f t="shared" si="50"/>
        <v>24.588969625264674</v>
      </c>
      <c r="BE67" s="2">
        <f t="shared" si="51"/>
        <v>657.68200727084354</v>
      </c>
      <c r="BF67" s="2">
        <f t="shared" si="10"/>
        <v>14.899527856150877</v>
      </c>
      <c r="BG67" s="24">
        <f t="shared" si="61"/>
        <v>0.60594356263069726</v>
      </c>
    </row>
    <row r="68" spans="1:59" x14ac:dyDescent="0.25">
      <c r="A68">
        <f t="shared" si="12"/>
        <v>276</v>
      </c>
      <c r="B68">
        <v>4.5999999999999996</v>
      </c>
      <c r="C68" s="2">
        <f t="shared" si="58"/>
        <v>822.10250908855437</v>
      </c>
      <c r="D68" s="2">
        <f t="shared" si="13"/>
        <v>22.042595036286208</v>
      </c>
      <c r="E68" s="2">
        <f t="shared" si="14"/>
        <v>810.14693056082433</v>
      </c>
      <c r="F68" s="25">
        <f t="shared" si="15"/>
        <v>16.580213787378529</v>
      </c>
      <c r="G68">
        <f t="shared" si="16"/>
        <v>2.1408371867574388E-5</v>
      </c>
      <c r="H68">
        <f t="shared" si="17"/>
        <v>3.7324357331987429E-5</v>
      </c>
      <c r="I68" s="3">
        <f t="shared" si="59"/>
        <v>2.4377204817374385E-5</v>
      </c>
      <c r="J68" s="28">
        <f t="shared" si="52"/>
        <v>0.1951260261287269</v>
      </c>
      <c r="K68" s="24">
        <f t="shared" si="53"/>
        <v>9.2731081539380895</v>
      </c>
      <c r="L68" s="33">
        <f t="shared" si="54"/>
        <v>9.854841321374014</v>
      </c>
      <c r="M68" s="39">
        <f t="shared" si="55"/>
        <v>781.63812271910376</v>
      </c>
      <c r="N68" s="40">
        <f t="shared" si="18"/>
        <v>398.57722741073064</v>
      </c>
      <c r="O68" s="32">
        <f t="shared" si="19"/>
        <v>764.63266244694148</v>
      </c>
      <c r="P68" s="32">
        <f t="shared" si="20"/>
        <v>20.918417699845463</v>
      </c>
      <c r="Q68" s="33">
        <f t="shared" si="21"/>
        <v>9.2224916555013721</v>
      </c>
      <c r="R68" s="33">
        <f t="shared" si="22"/>
        <v>9.8451762063445756</v>
      </c>
      <c r="S68" s="39">
        <f t="shared" si="23"/>
        <v>827.35240920324475</v>
      </c>
      <c r="T68" s="36">
        <f t="shared" si="24"/>
        <v>608.58828886250899</v>
      </c>
      <c r="U68" s="36">
        <f t="shared" si="25"/>
        <v>12.093303002730138</v>
      </c>
      <c r="V68" s="37">
        <f t="shared" si="26"/>
        <v>12.697052419374014</v>
      </c>
      <c r="W68" s="40">
        <f t="shared" si="3"/>
        <v>1241.7136954572375</v>
      </c>
      <c r="X68" s="32">
        <f t="shared" si="27"/>
        <v>816.63451816214547</v>
      </c>
      <c r="Y68" s="32">
        <f t="shared" si="28"/>
        <v>22.191135159337293</v>
      </c>
      <c r="Z68" s="33">
        <f t="shared" si="29"/>
        <v>9.2847982332094201</v>
      </c>
      <c r="AA68" s="33">
        <f t="shared" si="30"/>
        <v>9.857040306026704</v>
      </c>
      <c r="AB68" s="39">
        <f t="shared" si="4"/>
        <v>775.6015840857408</v>
      </c>
      <c r="AC68" s="36">
        <f t="shared" si="31"/>
        <v>1887.485865409742</v>
      </c>
      <c r="AD68" s="36">
        <f t="shared" si="32"/>
        <v>35.862380986034047</v>
      </c>
      <c r="AE68" s="37">
        <f t="shared" si="33"/>
        <v>13.279106198532297</v>
      </c>
      <c r="AF68" s="40">
        <f t="shared" si="5"/>
        <v>409.44381946091943</v>
      </c>
      <c r="AG68" s="32">
        <f t="shared" si="34"/>
        <v>758.49925173729685</v>
      </c>
      <c r="AH68" s="32">
        <f t="shared" si="35"/>
        <v>20.753855108768654</v>
      </c>
      <c r="AI68" s="33">
        <f t="shared" si="36"/>
        <v>9.2210554230040653</v>
      </c>
      <c r="AJ68" s="33">
        <f t="shared" si="37"/>
        <v>9.8448985267784686</v>
      </c>
      <c r="AK68" s="39">
        <f t="shared" si="6"/>
        <v>834.01905954297797</v>
      </c>
      <c r="AL68" s="36">
        <f t="shared" si="38"/>
        <v>609.01769061409755</v>
      </c>
      <c r="AM68" s="36">
        <f t="shared" si="39"/>
        <v>12.298353809607384</v>
      </c>
      <c r="AN68" s="37">
        <f t="shared" si="40"/>
        <v>12.494163392708074</v>
      </c>
      <c r="AO68" s="40">
        <f t="shared" si="7"/>
        <v>1230.8844587774638</v>
      </c>
      <c r="AP68" s="32">
        <f t="shared" si="56"/>
        <v>825.0727998166642</v>
      </c>
      <c r="AQ68" s="32">
        <f t="shared" si="41"/>
        <v>22.380650431538726</v>
      </c>
      <c r="AR68" s="33">
        <f t="shared" si="42"/>
        <v>9.3013036399975952</v>
      </c>
      <c r="AS68" s="33">
        <f t="shared" si="43"/>
        <v>9.8601240603539537</v>
      </c>
      <c r="AT68" s="39">
        <f t="shared" si="8"/>
        <v>767.90942398524066</v>
      </c>
      <c r="AU68" s="36">
        <f t="shared" si="44"/>
        <v>1842.4001906117087</v>
      </c>
      <c r="AV68" s="36">
        <f t="shared" si="45"/>
        <v>35.456142754825464</v>
      </c>
      <c r="AW68" s="37">
        <f t="shared" si="46"/>
        <v>13.110424041785743</v>
      </c>
      <c r="AX68" s="40">
        <f t="shared" si="9"/>
        <v>416.79068603622824</v>
      </c>
      <c r="AY68" s="2">
        <f t="shared" si="57"/>
        <v>11.076299375514074</v>
      </c>
      <c r="AZ68" s="2">
        <f t="shared" si="47"/>
        <v>801.2206192043011</v>
      </c>
      <c r="BA68" s="2">
        <f t="shared" si="48"/>
        <v>824.70816493296218</v>
      </c>
      <c r="BB68" s="44">
        <f t="shared" si="60"/>
        <v>824.70816493296218</v>
      </c>
      <c r="BC68">
        <f t="shared" si="49"/>
        <v>276</v>
      </c>
      <c r="BD68" s="2">
        <f t="shared" si="50"/>
        <v>24.377204817374384</v>
      </c>
      <c r="BE68" s="2">
        <f t="shared" si="51"/>
        <v>659.76653194636981</v>
      </c>
      <c r="BF68" s="2">
        <f t="shared" si="10"/>
        <v>14.649289416935368</v>
      </c>
      <c r="BG68" s="24">
        <f t="shared" si="61"/>
        <v>0.60094213125265161</v>
      </c>
    </row>
    <row r="69" spans="1:59" x14ac:dyDescent="0.25">
      <c r="A69">
        <f t="shared" si="12"/>
        <v>282</v>
      </c>
      <c r="B69">
        <v>4.7</v>
      </c>
      <c r="C69" s="2">
        <f t="shared" si="58"/>
        <v>824.70816493296218</v>
      </c>
      <c r="D69" s="2">
        <f t="shared" si="13"/>
        <v>22.116242021481142</v>
      </c>
      <c r="E69" s="2">
        <f t="shared" si="14"/>
        <v>813.34965083298948</v>
      </c>
      <c r="F69" s="25">
        <f t="shared" si="15"/>
        <v>16.950988689099017</v>
      </c>
      <c r="G69">
        <f t="shared" si="16"/>
        <v>2.117294093254989E-5</v>
      </c>
      <c r="H69">
        <f t="shared" si="17"/>
        <v>3.6913896022728891E-5</v>
      </c>
      <c r="I69" s="3">
        <f t="shared" si="59"/>
        <v>2.4171974162745116E-5</v>
      </c>
      <c r="J69" s="28">
        <f t="shared" si="52"/>
        <v>0.19340746682509657</v>
      </c>
      <c r="K69" s="24">
        <f t="shared" si="53"/>
        <v>9.4006622204933468</v>
      </c>
      <c r="L69" s="33">
        <f t="shared" si="54"/>
        <v>9.878175120083668</v>
      </c>
      <c r="M69" s="39">
        <f t="shared" si="55"/>
        <v>780.0979673675289</v>
      </c>
      <c r="N69" s="40">
        <f t="shared" si="18"/>
        <v>399.57229805210966</v>
      </c>
      <c r="O69" s="32">
        <f t="shared" si="19"/>
        <v>763.05209305769392</v>
      </c>
      <c r="P69" s="32">
        <f t="shared" si="20"/>
        <v>20.87635383288778</v>
      </c>
      <c r="Q69" s="33">
        <f t="shared" si="21"/>
        <v>9.3431223547712161</v>
      </c>
      <c r="R69" s="33">
        <f t="shared" si="22"/>
        <v>9.8678278747695778</v>
      </c>
      <c r="S69" s="39">
        <f t="shared" si="23"/>
        <v>830.6481215828062</v>
      </c>
      <c r="T69" s="36">
        <f t="shared" si="24"/>
        <v>608.62431933765265</v>
      </c>
      <c r="U69" s="36">
        <f t="shared" si="25"/>
        <v>12.11196980622293</v>
      </c>
      <c r="V69" s="37">
        <f t="shared" si="26"/>
        <v>12.844790336961632</v>
      </c>
      <c r="W69" s="40">
        <f t="shared" si="3"/>
        <v>1248.3536504762749</v>
      </c>
      <c r="X69" s="32">
        <f t="shared" si="27"/>
        <v>820.77792834398088</v>
      </c>
      <c r="Y69" s="32">
        <f t="shared" si="28"/>
        <v>22.284699135100453</v>
      </c>
      <c r="Z69" s="33">
        <f t="shared" si="29"/>
        <v>9.4148063501021166</v>
      </c>
      <c r="AA69" s="33">
        <f t="shared" si="30"/>
        <v>9.8806744116878633</v>
      </c>
      <c r="AB69" s="39">
        <f t="shared" si="4"/>
        <v>773.23344270641621</v>
      </c>
      <c r="AC69" s="36">
        <f t="shared" si="31"/>
        <v>1915.6675657046817</v>
      </c>
      <c r="AD69" s="36">
        <f t="shared" si="32"/>
        <v>36.112765418240365</v>
      </c>
      <c r="AE69" s="37">
        <f t="shared" si="33"/>
        <v>13.559756690577258</v>
      </c>
      <c r="AF69" s="40">
        <f t="shared" si="5"/>
        <v>407.50151693131261</v>
      </c>
      <c r="AG69" s="32">
        <f t="shared" si="34"/>
        <v>756.13799182292655</v>
      </c>
      <c r="AH69" s="32">
        <f t="shared" si="35"/>
        <v>20.689519924876713</v>
      </c>
      <c r="AI69" s="33">
        <f t="shared" si="36"/>
        <v>9.3420705662087631</v>
      </c>
      <c r="AJ69" s="33">
        <f t="shared" si="37"/>
        <v>9.8676360235734801</v>
      </c>
      <c r="AK69" s="39">
        <f t="shared" si="6"/>
        <v>838.22724381746843</v>
      </c>
      <c r="AL69" s="36">
        <f t="shared" si="38"/>
        <v>608.93489749465948</v>
      </c>
      <c r="AM69" s="36">
        <f t="shared" si="39"/>
        <v>12.261508742840284</v>
      </c>
      <c r="AN69" s="37">
        <f t="shared" si="40"/>
        <v>12.694612510995626</v>
      </c>
      <c r="AO69" s="40">
        <f t="shared" si="7"/>
        <v>1240.4015158581258</v>
      </c>
      <c r="AP69" s="32">
        <f t="shared" si="56"/>
        <v>830.51572570182771</v>
      </c>
      <c r="AQ69" s="32">
        <f t="shared" si="41"/>
        <v>22.500790551799234</v>
      </c>
      <c r="AR69" s="33">
        <f t="shared" si="42"/>
        <v>9.4350146865693336</v>
      </c>
      <c r="AS69" s="33">
        <f t="shared" si="43"/>
        <v>9.8842153247533489</v>
      </c>
      <c r="AT69" s="39">
        <f t="shared" si="8"/>
        <v>764.44113290413975</v>
      </c>
      <c r="AU69" s="36">
        <f t="shared" si="44"/>
        <v>1881.965144725817</v>
      </c>
      <c r="AV69" s="36">
        <f t="shared" si="45"/>
        <v>35.81301719580992</v>
      </c>
      <c r="AW69" s="37">
        <f t="shared" si="46"/>
        <v>13.432695248643819</v>
      </c>
      <c r="AX69" s="40">
        <f t="shared" si="9"/>
        <v>412.85108736191182</v>
      </c>
      <c r="AY69" s="2">
        <f t="shared" si="57"/>
        <v>11.25835859310372</v>
      </c>
      <c r="AZ69" s="2">
        <f t="shared" si="47"/>
        <v>801.63748525270762</v>
      </c>
      <c r="BA69" s="2">
        <f t="shared" si="48"/>
        <v>827.27694265690639</v>
      </c>
      <c r="BB69" s="44">
        <f t="shared" si="60"/>
        <v>827.27694265690639</v>
      </c>
      <c r="BC69">
        <f t="shared" si="49"/>
        <v>282</v>
      </c>
      <c r="BD69" s="2">
        <f t="shared" si="50"/>
        <v>24.171974162745116</v>
      </c>
      <c r="BE69" s="2">
        <f t="shared" si="51"/>
        <v>661.82155412552515</v>
      </c>
      <c r="BF69" s="2">
        <f t="shared" si="10"/>
        <v>14.408029145682193</v>
      </c>
      <c r="BG69" s="24">
        <f t="shared" si="61"/>
        <v>0.59606340171786487</v>
      </c>
    </row>
    <row r="70" spans="1:59" x14ac:dyDescent="0.25">
      <c r="A70">
        <f t="shared" si="12"/>
        <v>288</v>
      </c>
      <c r="B70">
        <v>4.8</v>
      </c>
      <c r="C70" s="2">
        <f t="shared" si="58"/>
        <v>827.27694265690639</v>
      </c>
      <c r="D70" s="2">
        <f t="shared" si="13"/>
        <v>22.188995543230519</v>
      </c>
      <c r="E70" s="2">
        <f t="shared" si="14"/>
        <v>816.54028176255883</v>
      </c>
      <c r="F70" s="25">
        <f t="shared" si="15"/>
        <v>17.322574356258997</v>
      </c>
      <c r="G70">
        <f t="shared" si="16"/>
        <v>2.09446200268329E-5</v>
      </c>
      <c r="H70">
        <f t="shared" si="17"/>
        <v>3.6515830671283296E-5</v>
      </c>
      <c r="I70" s="3">
        <f t="shared" si="59"/>
        <v>2.3972941487022319E-5</v>
      </c>
      <c r="J70" s="28">
        <f t="shared" si="52"/>
        <v>0.19173715398143579</v>
      </c>
      <c r="K70" s="24">
        <f t="shared" si="53"/>
        <v>9.5276337078987332</v>
      </c>
      <c r="L70" s="33">
        <f t="shared" si="54"/>
        <v>9.9000004586590844</v>
      </c>
      <c r="M70" s="39">
        <f t="shared" si="55"/>
        <v>778.45075852583159</v>
      </c>
      <c r="N70" s="40">
        <f t="shared" si="18"/>
        <v>400.52735223903039</v>
      </c>
      <c r="O70" s="32">
        <f t="shared" si="19"/>
        <v>761.37358817517577</v>
      </c>
      <c r="P70" s="32">
        <f t="shared" si="20"/>
        <v>20.831424983357422</v>
      </c>
      <c r="Q70" s="33">
        <f t="shared" si="21"/>
        <v>9.4628925544764346</v>
      </c>
      <c r="R70" s="33">
        <f t="shared" si="22"/>
        <v>9.8890427318632561</v>
      </c>
      <c r="S70" s="39">
        <f t="shared" si="23"/>
        <v>833.93075766039533</v>
      </c>
      <c r="T70" s="36">
        <f t="shared" si="24"/>
        <v>608.65949636150322</v>
      </c>
      <c r="U70" s="36">
        <f t="shared" si="25"/>
        <v>12.129906789773292</v>
      </c>
      <c r="V70" s="37">
        <f t="shared" si="26"/>
        <v>12.991581422888167</v>
      </c>
      <c r="W70" s="40">
        <f t="shared" si="3"/>
        <v>1254.8848349843493</v>
      </c>
      <c r="X70" s="32">
        <f t="shared" si="27"/>
        <v>824.95955844488003</v>
      </c>
      <c r="Y70" s="32">
        <f t="shared" si="28"/>
        <v>22.378133736231945</v>
      </c>
      <c r="Z70" s="33">
        <f t="shared" si="29"/>
        <v>9.5445152189246034</v>
      </c>
      <c r="AA70" s="33">
        <f t="shared" si="30"/>
        <v>9.9028003798932822</v>
      </c>
      <c r="AB70" s="39">
        <f t="shared" si="4"/>
        <v>770.72405075223799</v>
      </c>
      <c r="AC70" s="36">
        <f t="shared" si="31"/>
        <v>1943.7896764244442</v>
      </c>
      <c r="AD70" s="36">
        <f t="shared" si="32"/>
        <v>36.360011709171722</v>
      </c>
      <c r="AE70" s="37">
        <f t="shared" si="33"/>
        <v>13.841091436553825</v>
      </c>
      <c r="AF70" s="40">
        <f t="shared" si="5"/>
        <v>405.58619190814022</v>
      </c>
      <c r="AG70" s="32">
        <f t="shared" si="34"/>
        <v>753.66326508745431</v>
      </c>
      <c r="AH70" s="32">
        <f t="shared" si="35"/>
        <v>20.621484477355885</v>
      </c>
      <c r="AI70" s="33">
        <f t="shared" si="36"/>
        <v>9.4624261433144348</v>
      </c>
      <c r="AJ70" s="33">
        <f t="shared" si="37"/>
        <v>9.8889625107308721</v>
      </c>
      <c r="AK70" s="39">
        <f t="shared" si="6"/>
        <v>842.45542009052292</v>
      </c>
      <c r="AL70" s="36">
        <f t="shared" si="38"/>
        <v>608.85591813354199</v>
      </c>
      <c r="AM70" s="36">
        <f t="shared" si="39"/>
        <v>12.225258186083261</v>
      </c>
      <c r="AN70" s="37">
        <f t="shared" si="40"/>
        <v>12.894412897833835</v>
      </c>
      <c r="AO70" s="40">
        <f t="shared" si="7"/>
        <v>1249.779849509174</v>
      </c>
      <c r="AP70" s="32">
        <f t="shared" si="56"/>
        <v>836.07618749469725</v>
      </c>
      <c r="AQ70" s="32">
        <f t="shared" si="41"/>
        <v>22.621900935495809</v>
      </c>
      <c r="AR70" s="33">
        <f t="shared" si="42"/>
        <v>9.5688960998223429</v>
      </c>
      <c r="AS70" s="33">
        <f t="shared" si="43"/>
        <v>9.9068028174819212</v>
      </c>
      <c r="AT70" s="39">
        <f t="shared" si="8"/>
        <v>760.78371970041269</v>
      </c>
      <c r="AU70" s="36">
        <f t="shared" si="44"/>
        <v>1921.7743937252164</v>
      </c>
      <c r="AV70" s="36">
        <f t="shared" si="45"/>
        <v>36.166674451258835</v>
      </c>
      <c r="AW70" s="37">
        <f t="shared" si="46"/>
        <v>13.757480513297002</v>
      </c>
      <c r="AX70" s="40">
        <f t="shared" si="9"/>
        <v>408.99153015655378</v>
      </c>
      <c r="AY70" s="2">
        <f t="shared" si="57"/>
        <v>11.44041203588883</v>
      </c>
      <c r="AZ70" s="2">
        <f t="shared" si="47"/>
        <v>801.97348705089212</v>
      </c>
      <c r="BA70" s="2">
        <f t="shared" si="48"/>
        <v>829.81060163955431</v>
      </c>
      <c r="BB70" s="44">
        <f t="shared" si="60"/>
        <v>829.81060163955431</v>
      </c>
      <c r="BC70">
        <f t="shared" si="49"/>
        <v>288</v>
      </c>
      <c r="BD70" s="2">
        <f t="shared" si="50"/>
        <v>23.972941487022318</v>
      </c>
      <c r="BE70" s="2">
        <f t="shared" si="51"/>
        <v>663.84848131164347</v>
      </c>
      <c r="BF70" s="2">
        <f t="shared" si="10"/>
        <v>14.175242196173855</v>
      </c>
      <c r="BG70" s="24">
        <f t="shared" si="61"/>
        <v>0.59130174759103216</v>
      </c>
    </row>
    <row r="71" spans="1:59" x14ac:dyDescent="0.25">
      <c r="A71">
        <f t="shared" si="12"/>
        <v>294</v>
      </c>
      <c r="B71">
        <v>4.9000000000000004</v>
      </c>
      <c r="C71" s="2">
        <f t="shared" si="58"/>
        <v>829.81060163955431</v>
      </c>
      <c r="D71" s="2">
        <f t="shared" si="13"/>
        <v>22.260899215546495</v>
      </c>
      <c r="E71" s="2">
        <f t="shared" si="14"/>
        <v>819.71979126228985</v>
      </c>
      <c r="F71" s="25">
        <f t="shared" si="15"/>
        <v>17.694977829442955</v>
      </c>
      <c r="G71">
        <f t="shared" si="16"/>
        <v>2.0723050797513116E-5</v>
      </c>
      <c r="H71">
        <f t="shared" si="17"/>
        <v>3.6129536508417485E-5</v>
      </c>
      <c r="I71" s="3">
        <f t="shared" si="59"/>
        <v>2.3779794405589413E-5</v>
      </c>
      <c r="J71" s="28">
        <f t="shared" si="52"/>
        <v>0.19011274879470985</v>
      </c>
      <c r="K71" s="24">
        <f t="shared" si="53"/>
        <v>9.6540470486961638</v>
      </c>
      <c r="L71" s="33">
        <f t="shared" si="54"/>
        <v>9.9204046910988204</v>
      </c>
      <c r="M71" s="39">
        <f t="shared" si="55"/>
        <v>776.70429806841094</v>
      </c>
      <c r="N71" s="40">
        <f t="shared" si="18"/>
        <v>401.44379263205639</v>
      </c>
      <c r="O71" s="32">
        <f t="shared" si="19"/>
        <v>759.60736022306935</v>
      </c>
      <c r="P71" s="32">
        <f t="shared" si="20"/>
        <v>20.783855353376758</v>
      </c>
      <c r="Q71" s="33">
        <f t="shared" si="21"/>
        <v>9.5818583554984791</v>
      </c>
      <c r="R71" s="33">
        <f t="shared" si="22"/>
        <v>9.9089110021082369</v>
      </c>
      <c r="S71" s="39">
        <f t="shared" si="23"/>
        <v>837.19861992989172</v>
      </c>
      <c r="T71" s="36">
        <f t="shared" si="24"/>
        <v>608.69380793631001</v>
      </c>
      <c r="U71" s="36">
        <f t="shared" si="25"/>
        <v>12.147137772446261</v>
      </c>
      <c r="V71" s="37">
        <f t="shared" si="26"/>
        <v>13.137466457134614</v>
      </c>
      <c r="W71" s="40">
        <f t="shared" si="3"/>
        <v>1261.3115835597816</v>
      </c>
      <c r="X71" s="32">
        <f t="shared" si="27"/>
        <v>829.17691238781481</v>
      </c>
      <c r="Y71" s="32">
        <f t="shared" si="28"/>
        <v>22.471387574891708</v>
      </c>
      <c r="Z71" s="33">
        <f t="shared" si="29"/>
        <v>9.6739536984506405</v>
      </c>
      <c r="AA71" s="33">
        <f t="shared" si="30"/>
        <v>9.9235014925289491</v>
      </c>
      <c r="AB71" s="39">
        <f t="shared" si="4"/>
        <v>768.08534419792534</v>
      </c>
      <c r="AC71" s="36">
        <f t="shared" si="31"/>
        <v>1971.8541230383612</v>
      </c>
      <c r="AD71" s="36">
        <f t="shared" si="32"/>
        <v>36.604237151764394</v>
      </c>
      <c r="AE71" s="37">
        <f t="shared" si="33"/>
        <v>14.123102663717154</v>
      </c>
      <c r="AF71" s="40">
        <f t="shared" si="5"/>
        <v>403.69719620079269</v>
      </c>
      <c r="AG71" s="32">
        <f t="shared" si="34"/>
        <v>751.09121613350794</v>
      </c>
      <c r="AH71" s="32">
        <f t="shared" si="35"/>
        <v>20.55009515490606</v>
      </c>
      <c r="AI71" s="33">
        <f t="shared" si="36"/>
        <v>9.5822068013619379</v>
      </c>
      <c r="AJ71" s="33">
        <f t="shared" si="37"/>
        <v>9.9089674852339922</v>
      </c>
      <c r="AK71" s="39">
        <f t="shared" si="6"/>
        <v>846.69590727148818</v>
      </c>
      <c r="AL71" s="36">
        <f t="shared" si="38"/>
        <v>608.78054474169687</v>
      </c>
      <c r="AM71" s="36">
        <f t="shared" si="39"/>
        <v>12.189586440360056</v>
      </c>
      <c r="AN71" s="37">
        <f t="shared" si="40"/>
        <v>13.093582444210526</v>
      </c>
      <c r="AO71" s="40">
        <f t="shared" si="7"/>
        <v>1259.0237904002513</v>
      </c>
      <c r="AP71" s="32">
        <f t="shared" si="56"/>
        <v>841.74591474912438</v>
      </c>
      <c r="AQ71" s="32">
        <f t="shared" si="41"/>
        <v>22.743766154577244</v>
      </c>
      <c r="AR71" s="33">
        <f t="shared" si="42"/>
        <v>9.7029843192754495</v>
      </c>
      <c r="AS71" s="33">
        <f t="shared" si="43"/>
        <v>9.9279622592463141</v>
      </c>
      <c r="AT71" s="39">
        <f t="shared" si="8"/>
        <v>756.95635671082368</v>
      </c>
      <c r="AU71" s="36">
        <f t="shared" si="44"/>
        <v>1961.8189975119594</v>
      </c>
      <c r="AV71" s="36">
        <f t="shared" si="45"/>
        <v>36.517191755421209</v>
      </c>
      <c r="AW71" s="37">
        <f t="shared" si="46"/>
        <v>14.084721284027609</v>
      </c>
      <c r="AX71" s="40">
        <f t="shared" si="9"/>
        <v>405.21046302804774</v>
      </c>
      <c r="AY71" s="2">
        <f t="shared" si="57"/>
        <v>11.622484502959553</v>
      </c>
      <c r="AZ71" s="2">
        <f t="shared" si="47"/>
        <v>802.23405702753223</v>
      </c>
      <c r="BA71" s="2">
        <f t="shared" si="48"/>
        <v>832.3107582972184</v>
      </c>
      <c r="BB71" s="44">
        <f t="shared" si="60"/>
        <v>832.3107582972184</v>
      </c>
      <c r="BC71">
        <f t="shared" si="49"/>
        <v>294</v>
      </c>
      <c r="BD71" s="2">
        <f t="shared" si="50"/>
        <v>23.779794405589413</v>
      </c>
      <c r="BE71" s="2">
        <f t="shared" si="51"/>
        <v>665.84860663777476</v>
      </c>
      <c r="BF71" s="2">
        <f t="shared" si="10"/>
        <v>13.95046241143617</v>
      </c>
      <c r="BG71" s="24">
        <f t="shared" si="61"/>
        <v>0.58665193539928717</v>
      </c>
    </row>
    <row r="72" spans="1:59" x14ac:dyDescent="0.25">
      <c r="A72">
        <f t="shared" si="12"/>
        <v>1020</v>
      </c>
      <c r="B72">
        <v>17</v>
      </c>
      <c r="C72" s="2">
        <f t="shared" si="58"/>
        <v>832.3107582972184</v>
      </c>
      <c r="D72" s="2">
        <f t="shared" si="13"/>
        <v>22.331993068304342</v>
      </c>
      <c r="E72" s="2">
        <f t="shared" si="14"/>
        <v>822.8890599195845</v>
      </c>
      <c r="F72" s="25">
        <f t="shared" si="15"/>
        <v>61.431900472593156</v>
      </c>
      <c r="G72">
        <f t="shared" si="16"/>
        <v>1.1121970210119283E-5</v>
      </c>
      <c r="H72">
        <f t="shared" si="17"/>
        <v>1.9390563323825777E-5</v>
      </c>
      <c r="I72" s="3">
        <f t="shared" si="59"/>
        <v>1.5410307813293561E-5</v>
      </c>
      <c r="J72" s="28">
        <f t="shared" si="52"/>
        <v>0.11555631125154464</v>
      </c>
      <c r="K72" s="24">
        <f t="shared" si="53"/>
        <v>21.719836778868171</v>
      </c>
      <c r="L72" s="33">
        <f t="shared" si="54"/>
        <v>15.332483264212428</v>
      </c>
      <c r="M72" s="39">
        <f t="shared" si="55"/>
        <v>1121.6107460296837</v>
      </c>
      <c r="N72" s="40">
        <f t="shared" si="18"/>
        <v>562.60250686582367</v>
      </c>
      <c r="O72" s="32">
        <f t="shared" si="19"/>
        <v>1445.4150569098754</v>
      </c>
      <c r="P72" s="32">
        <f t="shared" si="20"/>
        <v>31.503936980835249</v>
      </c>
      <c r="Q72" s="33">
        <f t="shared" si="21"/>
        <v>27.043973239365108</v>
      </c>
      <c r="R72" s="33">
        <f>(0.00527*(Q72^3))-(0.192*(Q72^2))+2.39*Q72</f>
        <v>28.447859230400823</v>
      </c>
      <c r="S72" s="39">
        <f t="shared" si="23"/>
        <v>1184.7534078709155</v>
      </c>
      <c r="T72" s="36">
        <f t="shared" si="24"/>
        <v>630.48884695615288</v>
      </c>
      <c r="U72" s="36">
        <f t="shared" si="25"/>
        <v>15.469798321617533</v>
      </c>
      <c r="V72" s="37">
        <f t="shared" si="26"/>
        <v>24.023457374399715</v>
      </c>
      <c r="W72" s="40">
        <f t="shared" si="3"/>
        <v>1544.4896946998242</v>
      </c>
      <c r="X72" s="32">
        <f t="shared" si="27"/>
        <v>1662.2290709204613</v>
      </c>
      <c r="Y72" s="32">
        <f t="shared" si="28"/>
        <v>33.755053604863967</v>
      </c>
      <c r="Z72" s="33">
        <f t="shared" si="29"/>
        <v>29.026510197986504</v>
      </c>
      <c r="AA72" s="33">
        <f t="shared" si="30"/>
        <v>36.488844352832444</v>
      </c>
      <c r="AB72" s="39">
        <f t="shared" si="4"/>
        <v>1321.417902343049</v>
      </c>
      <c r="AC72" s="36">
        <f t="shared" si="31"/>
        <v>3636.0219058144417</v>
      </c>
      <c r="AD72" s="36">
        <f t="shared" si="32"/>
        <v>48.283911072732586</v>
      </c>
      <c r="AE72" s="37">
        <f t="shared" si="33"/>
        <v>44.388125244822291</v>
      </c>
      <c r="AF72" s="40">
        <f t="shared" si="5"/>
        <v>364.04207311911733</v>
      </c>
      <c r="AG72" s="32">
        <f t="shared" si="34"/>
        <v>2253.6522556772534</v>
      </c>
      <c r="AH72" s="32">
        <f t="shared" si="35"/>
        <v>38.933150854495025</v>
      </c>
      <c r="AI72" s="33">
        <f t="shared" si="36"/>
        <v>34.120085023219502</v>
      </c>
      <c r="AJ72" s="33">
        <f t="shared" si="37"/>
        <v>67.358962212678719</v>
      </c>
      <c r="AK72" s="39">
        <f t="shared" si="6"/>
        <v>1799.1999655497445</v>
      </c>
      <c r="AL72" s="36">
        <f t="shared" si="38"/>
        <v>607.65358307308486</v>
      </c>
      <c r="AM72" s="36">
        <f t="shared" si="39"/>
        <v>11.459191425239418</v>
      </c>
      <c r="AN72" s="37">
        <f t="shared" si="40"/>
        <v>31.256823604771387</v>
      </c>
      <c r="AO72" s="40">
        <f t="shared" si="7"/>
        <v>1827.9361696323601</v>
      </c>
      <c r="AP72" s="32">
        <f t="shared" si="56"/>
        <v>5974.7298633794508</v>
      </c>
      <c r="AQ72" s="32">
        <f t="shared" si="41"/>
        <v>60.323893441281562</v>
      </c>
      <c r="AR72" s="33">
        <f t="shared" si="42"/>
        <v>58.381017950181061</v>
      </c>
      <c r="AS72" s="33">
        <f>(0.00527*(AR72^3))-(0.192*(AR72^2))+2.39*AR72</f>
        <v>533.76676007594006</v>
      </c>
      <c r="AT72" s="39">
        <f t="shared" si="8"/>
        <v>5377.7944858404117</v>
      </c>
      <c r="AU72" s="36">
        <f t="shared" si="44"/>
        <v>6296.521525307875</v>
      </c>
      <c r="AV72" s="36">
        <f t="shared" si="45"/>
        <v>61.773460356592288</v>
      </c>
      <c r="AW72" s="37">
        <f t="shared" si="46"/>
        <v>60.081603602821417</v>
      </c>
      <c r="AX72" s="40">
        <f t="shared" si="9"/>
        <v>244.57650463764671</v>
      </c>
      <c r="AY72" s="2">
        <f t="shared" si="57"/>
        <v>38.540199529695876</v>
      </c>
      <c r="AZ72" s="2">
        <f t="shared" si="47"/>
        <v>2420.7914404010303</v>
      </c>
      <c r="BA72" s="2">
        <f t="shared" si="48"/>
        <v>995.26111052223712</v>
      </c>
      <c r="BB72" s="44">
        <f t="shared" si="60"/>
        <v>995.26111052223712</v>
      </c>
      <c r="BC72">
        <f t="shared" si="49"/>
        <v>1020</v>
      </c>
      <c r="BD72" s="2">
        <f t="shared" si="50"/>
        <v>15.410307813293562</v>
      </c>
      <c r="BE72" s="2">
        <f t="shared" si="51"/>
        <v>796.20888841778969</v>
      </c>
      <c r="BF72" s="2">
        <f t="shared" si="10"/>
        <v>4.964600765552337</v>
      </c>
      <c r="BG72" s="24">
        <f t="shared" si="61"/>
        <v>0.32216103829345116</v>
      </c>
    </row>
    <row r="73" spans="1:59" x14ac:dyDescent="0.25">
      <c r="C73" s="2"/>
      <c r="D73" s="2"/>
      <c r="E73" s="2"/>
      <c r="F73" s="25"/>
      <c r="I73" s="3"/>
      <c r="J73" s="28"/>
      <c r="K73" s="24"/>
      <c r="L73" s="24"/>
      <c r="M73" s="39"/>
      <c r="N73" s="40"/>
      <c r="O73" s="32"/>
      <c r="P73" s="32"/>
      <c r="Q73" s="33"/>
      <c r="R73" s="33"/>
      <c r="S73" s="39"/>
      <c r="T73" s="36"/>
      <c r="U73" s="36"/>
      <c r="V73" s="37"/>
      <c r="W73" s="40"/>
      <c r="X73" s="32"/>
      <c r="Y73" s="32"/>
      <c r="Z73" s="33"/>
      <c r="AA73" s="33"/>
      <c r="AB73" s="39"/>
      <c r="AC73" s="36"/>
      <c r="AD73" s="36"/>
      <c r="AE73" s="37"/>
      <c r="AF73" s="40"/>
      <c r="AG73" s="32"/>
      <c r="AH73" s="32"/>
      <c r="AI73" s="33"/>
      <c r="AJ73" s="33"/>
      <c r="AK73" s="39"/>
      <c r="AL73" s="36"/>
      <c r="AM73" s="36"/>
      <c r="AN73" s="37"/>
      <c r="AO73" s="40"/>
      <c r="AP73" s="32"/>
      <c r="AQ73" s="32"/>
      <c r="AR73" s="33"/>
      <c r="AS73" s="33"/>
      <c r="AT73" s="39"/>
      <c r="AU73" s="36"/>
      <c r="AV73" s="36"/>
      <c r="AW73" s="37"/>
      <c r="AX73" s="40"/>
      <c r="AY73" s="24"/>
      <c r="AZ73" s="2"/>
      <c r="BA73" s="2"/>
      <c r="BB73" s="44"/>
    </row>
    <row r="74" spans="1:59" x14ac:dyDescent="0.25">
      <c r="C74" s="2"/>
      <c r="D74" s="2"/>
      <c r="E74" s="2"/>
      <c r="F74" s="25"/>
      <c r="I74" s="3"/>
      <c r="J74" s="28"/>
      <c r="K74" s="24"/>
      <c r="L74" s="24"/>
      <c r="M74" s="39"/>
      <c r="N74" s="40"/>
      <c r="O74" s="32"/>
      <c r="P74" s="32"/>
      <c r="Q74" s="33"/>
      <c r="R74" s="33"/>
      <c r="S74" s="39"/>
      <c r="T74" s="36"/>
      <c r="U74" s="36"/>
      <c r="V74" s="37"/>
      <c r="W74" s="40"/>
      <c r="X74" s="32"/>
      <c r="Y74" s="32"/>
      <c r="Z74" s="33"/>
      <c r="AA74" s="33"/>
      <c r="AB74" s="39"/>
      <c r="AC74" s="36"/>
      <c r="AD74" s="36"/>
      <c r="AE74" s="37"/>
      <c r="AF74" s="40"/>
      <c r="AG74" s="32"/>
      <c r="AH74" s="32"/>
      <c r="AI74" s="33"/>
      <c r="AJ74" s="33"/>
      <c r="AK74" s="39"/>
      <c r="AL74" s="36"/>
      <c r="AM74" s="36"/>
      <c r="AN74" s="37"/>
      <c r="AO74" s="40"/>
      <c r="AP74" s="32"/>
      <c r="AQ74" s="32"/>
      <c r="AR74" s="33"/>
      <c r="AS74" s="33"/>
      <c r="AT74" s="39"/>
      <c r="AU74" s="36"/>
      <c r="AV74" s="36"/>
      <c r="AW74" s="37"/>
      <c r="AX74" s="40"/>
      <c r="AY74" s="24"/>
      <c r="AZ74" s="2"/>
      <c r="BA74" s="2"/>
      <c r="BB74" s="44"/>
    </row>
    <row r="75" spans="1:59" x14ac:dyDescent="0.25">
      <c r="C75" s="2"/>
      <c r="D75" s="2"/>
      <c r="E75" s="2"/>
      <c r="F75" s="25"/>
      <c r="I75" s="3"/>
      <c r="J75" s="28"/>
      <c r="K75" s="24"/>
      <c r="L75" s="24"/>
      <c r="M75" s="39"/>
      <c r="N75" s="40"/>
      <c r="O75" s="32"/>
      <c r="P75" s="32"/>
      <c r="Q75" s="33"/>
      <c r="R75" s="33"/>
      <c r="S75" s="39"/>
      <c r="T75" s="36"/>
      <c r="U75" s="36"/>
      <c r="V75" s="37"/>
      <c r="W75" s="40"/>
      <c r="X75" s="32"/>
      <c r="Y75" s="32"/>
      <c r="Z75" s="33"/>
      <c r="AA75" s="33"/>
      <c r="AB75" s="39"/>
      <c r="AC75" s="36"/>
      <c r="AD75" s="36"/>
      <c r="AE75" s="37"/>
      <c r="AF75" s="40"/>
      <c r="AG75" s="32"/>
      <c r="AH75" s="32"/>
      <c r="AI75" s="33"/>
      <c r="AJ75" s="33"/>
      <c r="AK75" s="39"/>
      <c r="AL75" s="36"/>
      <c r="AM75" s="36"/>
      <c r="AN75" s="37"/>
      <c r="AO75" s="40"/>
      <c r="AP75" s="32"/>
      <c r="AQ75" s="32"/>
      <c r="AR75" s="33"/>
      <c r="AS75" s="33"/>
      <c r="AT75" s="39"/>
      <c r="AU75" s="36"/>
      <c r="AV75" s="36"/>
      <c r="AW75" s="37"/>
      <c r="AX75" s="40"/>
      <c r="AY75" s="24"/>
      <c r="AZ75" s="2"/>
      <c r="BA75" s="2"/>
      <c r="BB75" s="44"/>
    </row>
    <row r="76" spans="1:59" x14ac:dyDescent="0.25">
      <c r="C76" s="2"/>
      <c r="D76" s="2"/>
      <c r="E76" s="2"/>
      <c r="F76" s="25"/>
      <c r="I76" s="3"/>
      <c r="J76" s="28"/>
      <c r="K76" s="24"/>
      <c r="L76" s="24"/>
      <c r="M76" s="39"/>
      <c r="N76" s="40"/>
      <c r="O76" s="32"/>
      <c r="P76" s="32"/>
      <c r="Q76" s="33"/>
      <c r="R76" s="33"/>
      <c r="S76" s="39"/>
      <c r="T76" s="36"/>
      <c r="U76" s="36"/>
      <c r="V76" s="37"/>
      <c r="W76" s="40"/>
      <c r="X76" s="32"/>
      <c r="Y76" s="32"/>
      <c r="Z76" s="33"/>
      <c r="AA76" s="33"/>
      <c r="AB76" s="39"/>
      <c r="AC76" s="36"/>
      <c r="AD76" s="36"/>
      <c r="AE76" s="37"/>
      <c r="AF76" s="40"/>
      <c r="AG76" s="32"/>
      <c r="AH76" s="32"/>
      <c r="AI76" s="33"/>
      <c r="AJ76" s="33"/>
      <c r="AK76" s="39"/>
      <c r="AL76" s="36"/>
      <c r="AM76" s="36"/>
      <c r="AN76" s="37"/>
      <c r="AO76" s="40"/>
      <c r="AP76" s="32"/>
      <c r="AQ76" s="32"/>
      <c r="AR76" s="33"/>
      <c r="AS76" s="33"/>
      <c r="AT76" s="39"/>
      <c r="AU76" s="36"/>
      <c r="AV76" s="36"/>
      <c r="AW76" s="37"/>
      <c r="AX76" s="40"/>
      <c r="AY76" s="24"/>
      <c r="AZ76" s="2"/>
      <c r="BA76" s="2"/>
      <c r="BB76" s="44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I76"/>
  <sheetViews>
    <sheetView tabSelected="1" topLeftCell="K1" zoomScale="84" zoomScaleNormal="84" workbookViewId="0">
      <selection activeCell="I23" sqref="I23"/>
    </sheetView>
  </sheetViews>
  <sheetFormatPr defaultRowHeight="15" x14ac:dyDescent="0.25"/>
  <cols>
    <col min="1" max="1" width="23.85546875" customWidth="1"/>
    <col min="2" max="2" width="11" customWidth="1"/>
    <col min="3" max="3" width="12" customWidth="1"/>
    <col min="4" max="4" width="11.5703125" customWidth="1"/>
    <col min="7" max="7" width="11.85546875" bestFit="1" customWidth="1"/>
    <col min="8" max="8" width="14.28515625" customWidth="1"/>
    <col min="9" max="9" width="16.5703125" customWidth="1"/>
    <col min="10" max="10" width="12.28515625" customWidth="1"/>
    <col min="13" max="13" width="13.85546875" customWidth="1"/>
    <col min="16" max="16" width="12.140625" customWidth="1"/>
    <col min="19" max="19" width="12.28515625" customWidth="1"/>
    <col min="21" max="21" width="11.5703125" customWidth="1"/>
    <col min="23" max="23" width="13.42578125" customWidth="1"/>
    <col min="45" max="45" width="15.42578125" bestFit="1" customWidth="1"/>
    <col min="54" max="54" width="13.140625" customWidth="1"/>
  </cols>
  <sheetData>
    <row r="2" spans="1:58" x14ac:dyDescent="0.25">
      <c r="A2" t="s">
        <v>6</v>
      </c>
      <c r="H2" t="s">
        <v>7</v>
      </c>
      <c r="I2">
        <v>500</v>
      </c>
    </row>
    <row r="3" spans="1:58" ht="15.75" thickBot="1" x14ac:dyDescent="0.3">
      <c r="H3" t="s">
        <v>8</v>
      </c>
      <c r="I3" t="s">
        <v>9</v>
      </c>
      <c r="J3" t="s">
        <v>10</v>
      </c>
      <c r="P3" t="s">
        <v>11</v>
      </c>
      <c r="Q3" t="s">
        <v>12</v>
      </c>
      <c r="R3">
        <v>0.05</v>
      </c>
    </row>
    <row r="4" spans="1:58" x14ac:dyDescent="0.25">
      <c r="A4" s="12" t="s">
        <v>13</v>
      </c>
      <c r="B4" s="15" t="s">
        <v>14</v>
      </c>
      <c r="C4" s="19">
        <v>20</v>
      </c>
      <c r="D4" s="6" t="s">
        <v>15</v>
      </c>
      <c r="E4" s="7">
        <f>C4*PI()/180</f>
        <v>0.3490658503988659</v>
      </c>
      <c r="F4" s="8" t="s">
        <v>16</v>
      </c>
      <c r="G4" t="s">
        <v>12</v>
      </c>
      <c r="J4" t="s">
        <v>17</v>
      </c>
      <c r="K4" t="s">
        <v>18</v>
      </c>
      <c r="P4" t="s">
        <v>10</v>
      </c>
      <c r="Q4" t="s">
        <v>4</v>
      </c>
      <c r="BB4" s="20">
        <f>LN(BB5)</f>
        <v>0.25309529223699273</v>
      </c>
    </row>
    <row r="5" spans="1:58" x14ac:dyDescent="0.25">
      <c r="A5" s="13" t="s">
        <v>19</v>
      </c>
      <c r="B5" s="16" t="s">
        <v>20</v>
      </c>
      <c r="C5" s="26">
        <f>0</f>
        <v>0</v>
      </c>
      <c r="D5" t="s">
        <v>15</v>
      </c>
      <c r="E5" s="5">
        <f t="shared" ref="E5:E6" si="0">C5*PI()/180</f>
        <v>0</v>
      </c>
      <c r="F5" s="9" t="s">
        <v>16</v>
      </c>
      <c r="P5">
        <v>20</v>
      </c>
      <c r="Q5">
        <v>360</v>
      </c>
      <c r="BB5">
        <f t="array" ref="BB5:BC8">LOGEST(BB23:BB72,LN(A23:A72),TRUE,TRUE)</f>
        <v>1.2880060079606344</v>
      </c>
      <c r="BC5" s="20">
        <v>163.64020538020171</v>
      </c>
      <c r="BE5" s="20">
        <f t="array" ref="BE5:BF9">LINEST(BB23:BB72,LN(A23:A72),TRUE,TRUE)</f>
        <v>122.03720466530586</v>
      </c>
      <c r="BF5" s="20">
        <v>-20.894786805046579</v>
      </c>
    </row>
    <row r="6" spans="1:58" x14ac:dyDescent="0.25">
      <c r="A6" s="13" t="s">
        <v>21</v>
      </c>
      <c r="B6" s="16" t="s">
        <v>5</v>
      </c>
      <c r="C6" s="26">
        <f>5</f>
        <v>5</v>
      </c>
      <c r="D6" t="s">
        <v>15</v>
      </c>
      <c r="E6" s="5">
        <f t="shared" si="0"/>
        <v>8.7266462599716474E-2</v>
      </c>
      <c r="F6" s="9" t="s">
        <v>16</v>
      </c>
      <c r="G6">
        <v>5.0000000000000001E-3</v>
      </c>
      <c r="H6">
        <v>49.53</v>
      </c>
      <c r="I6">
        <v>0.36</v>
      </c>
      <c r="J6" s="25">
        <f>$I$2^(1/I6)*(1/H6)^(1/I6)</f>
        <v>615.41959940443087</v>
      </c>
      <c r="K6" s="5">
        <f>J6/60</f>
        <v>10.256993323407182</v>
      </c>
      <c r="L6" s="2">
        <f>J6*1.666</f>
        <v>1025.2890526077817</v>
      </c>
      <c r="P6">
        <v>40</v>
      </c>
      <c r="Q6">
        <v>400</v>
      </c>
      <c r="BB6">
        <v>4.4644858585955842E-3</v>
      </c>
      <c r="BC6">
        <v>2.1759076547595697E-2</v>
      </c>
      <c r="BE6">
        <v>1.2962282647380581</v>
      </c>
      <c r="BF6">
        <v>6.3175762963364042</v>
      </c>
    </row>
    <row r="7" spans="1:58" ht="18" x14ac:dyDescent="0.35">
      <c r="A7" s="13" t="s">
        <v>22</v>
      </c>
      <c r="B7" s="17" t="s">
        <v>23</v>
      </c>
      <c r="C7" s="26">
        <v>2</v>
      </c>
      <c r="D7" t="s">
        <v>24</v>
      </c>
      <c r="E7" s="3">
        <f>C7*10^-6</f>
        <v>1.9999999999999999E-6</v>
      </c>
      <c r="F7" s="9" t="s">
        <v>0</v>
      </c>
      <c r="G7">
        <v>0.02</v>
      </c>
      <c r="H7">
        <v>60</v>
      </c>
      <c r="I7">
        <v>0.38279999999999997</v>
      </c>
      <c r="J7" s="25">
        <f>$I$2^(1/I7)*(1/H7)^(1/I7)</f>
        <v>254.37980983810058</v>
      </c>
      <c r="K7" s="5">
        <f>J7/60</f>
        <v>4.2396634973016765</v>
      </c>
      <c r="L7" s="2">
        <f t="shared" ref="L7:L10" si="1">J7*1.666</f>
        <v>423.79676319027556</v>
      </c>
      <c r="P7">
        <v>60</v>
      </c>
      <c r="Q7">
        <v>430</v>
      </c>
      <c r="BB7">
        <v>0.98528441205234918</v>
      </c>
      <c r="BC7">
        <v>2.9109683883127332E-2</v>
      </c>
      <c r="BE7">
        <v>0.99461390220768753</v>
      </c>
      <c r="BF7">
        <v>8.4517671736492748</v>
      </c>
    </row>
    <row r="8" spans="1:58" ht="18" x14ac:dyDescent="0.35">
      <c r="A8" s="13" t="s">
        <v>25</v>
      </c>
      <c r="B8" s="17" t="s">
        <v>26</v>
      </c>
      <c r="C8" s="26">
        <f>(C7/2)/TAN(E6)</f>
        <v>11.430052302761343</v>
      </c>
      <c r="D8" t="s">
        <v>24</v>
      </c>
      <c r="E8" s="3">
        <f>C8*10^-6</f>
        <v>1.1430052302761342E-5</v>
      </c>
      <c r="F8" s="9" t="s">
        <v>0</v>
      </c>
      <c r="G8">
        <v>0.04</v>
      </c>
      <c r="H8">
        <v>84.31</v>
      </c>
      <c r="I8">
        <v>0.40100000000000002</v>
      </c>
      <c r="J8" s="25">
        <f>$I$2^(1/I8)*(1/H8)^(1/I8)</f>
        <v>84.704701978053649</v>
      </c>
      <c r="K8" s="5">
        <f t="shared" ref="K8:K10" si="2">J8/60</f>
        <v>1.4117450329675607</v>
      </c>
      <c r="L8" s="2">
        <f t="shared" si="1"/>
        <v>141.11803349543737</v>
      </c>
      <c r="P8">
        <v>80</v>
      </c>
      <c r="Q8">
        <v>470</v>
      </c>
      <c r="BB8">
        <v>3213.8472446194701</v>
      </c>
      <c r="BC8">
        <v>48</v>
      </c>
      <c r="BE8">
        <v>8863.8322486661782</v>
      </c>
      <c r="BF8">
        <v>48</v>
      </c>
    </row>
    <row r="9" spans="1:58" x14ac:dyDescent="0.25">
      <c r="A9" s="13" t="s">
        <v>27</v>
      </c>
      <c r="B9" s="17" t="s">
        <v>12</v>
      </c>
      <c r="C9" s="48">
        <v>0.1</v>
      </c>
      <c r="D9" t="s">
        <v>28</v>
      </c>
      <c r="E9" s="3">
        <f>C9*10^-3</f>
        <v>1E-4</v>
      </c>
      <c r="F9" s="9" t="s">
        <v>0</v>
      </c>
      <c r="G9">
        <v>0.08</v>
      </c>
      <c r="H9">
        <v>151.4</v>
      </c>
      <c r="I9">
        <v>0.36899999999999999</v>
      </c>
      <c r="J9" s="25">
        <f>$I$2^(1/I9)*(1/H9)^(1/I9)</f>
        <v>25.473091222700901</v>
      </c>
      <c r="K9" s="5">
        <f t="shared" si="2"/>
        <v>0.42455152037834837</v>
      </c>
      <c r="L9" s="2">
        <f t="shared" si="1"/>
        <v>42.438169977019697</v>
      </c>
      <c r="P9">
        <v>100</v>
      </c>
      <c r="Q9">
        <v>490</v>
      </c>
      <c r="BE9">
        <v>633164.53024647874</v>
      </c>
      <c r="BF9">
        <v>3428.753681163621</v>
      </c>
    </row>
    <row r="10" spans="1:58" ht="18" x14ac:dyDescent="0.35">
      <c r="A10" s="13" t="s">
        <v>29</v>
      </c>
      <c r="B10" s="17" t="s">
        <v>30</v>
      </c>
      <c r="C10" s="21">
        <f>C9/SIN(E4)</f>
        <v>0.29238044001630875</v>
      </c>
      <c r="D10" t="s">
        <v>28</v>
      </c>
      <c r="E10" s="3">
        <f>C10*10^-3</f>
        <v>2.9238044001630878E-4</v>
      </c>
      <c r="F10" s="9" t="s">
        <v>0</v>
      </c>
      <c r="G10">
        <v>0.12</v>
      </c>
      <c r="H10">
        <v>160.72</v>
      </c>
      <c r="I10" s="5">
        <v>0.38600000000000001</v>
      </c>
      <c r="J10" s="25">
        <f>$I$2^(1/I10)*(1/H10)^(1/I10)</f>
        <v>18.920962021010727</v>
      </c>
      <c r="K10" s="5">
        <f t="shared" si="2"/>
        <v>0.31534936701684546</v>
      </c>
      <c r="L10" s="2">
        <f t="shared" si="1"/>
        <v>31.522322727003868</v>
      </c>
    </row>
    <row r="11" spans="1:58" x14ac:dyDescent="0.25">
      <c r="A11" s="13" t="s">
        <v>31</v>
      </c>
      <c r="B11" s="17" t="s">
        <v>32</v>
      </c>
      <c r="C11" s="26">
        <f>3</f>
        <v>3</v>
      </c>
      <c r="D11" t="s">
        <v>28</v>
      </c>
      <c r="E11" s="3">
        <f>C11*10^-3</f>
        <v>3.0000000000000001E-3</v>
      </c>
      <c r="F11" s="9" t="s">
        <v>0</v>
      </c>
      <c r="AY11" t="s">
        <v>33</v>
      </c>
      <c r="AZ11" t="s">
        <v>34</v>
      </c>
      <c r="BA11" t="s">
        <v>35</v>
      </c>
    </row>
    <row r="12" spans="1:58" ht="18" x14ac:dyDescent="0.35">
      <c r="A12" s="13" t="s">
        <v>86</v>
      </c>
      <c r="B12" s="17" t="s">
        <v>90</v>
      </c>
      <c r="C12" s="27">
        <f>SQRT(C13^2+C14^2)</f>
        <v>668.0116442291386</v>
      </c>
      <c r="D12" t="s">
        <v>38</v>
      </c>
      <c r="E12" s="50" t="s">
        <v>92</v>
      </c>
      <c r="F12" s="9"/>
      <c r="AY12">
        <v>1</v>
      </c>
      <c r="AZ12" s="2">
        <f>M23</f>
        <v>254.04391908769645</v>
      </c>
      <c r="BA12" s="2">
        <f>N23</f>
        <v>120.96223918545867</v>
      </c>
    </row>
    <row r="13" spans="1:58" x14ac:dyDescent="0.25">
      <c r="A13" s="13" t="s">
        <v>36</v>
      </c>
      <c r="B13" s="17" t="s">
        <v>88</v>
      </c>
      <c r="C13" s="27">
        <f>13.918*(C9*1000)^0.8162</f>
        <v>597.00343803352098</v>
      </c>
      <c r="D13" t="s">
        <v>38</v>
      </c>
      <c r="E13" s="3"/>
      <c r="F13" s="9"/>
      <c r="AY13">
        <v>2</v>
      </c>
      <c r="AZ13" s="2">
        <f>S23</f>
        <v>234.78320275518485</v>
      </c>
      <c r="BA13" s="2">
        <f>W23</f>
        <v>256.2905650987131</v>
      </c>
    </row>
    <row r="14" spans="1:58" x14ac:dyDescent="0.25">
      <c r="A14" s="13" t="s">
        <v>87</v>
      </c>
      <c r="B14" s="17" t="s">
        <v>89</v>
      </c>
      <c r="C14" s="27">
        <f>15.371*(C9*1000)^0.645</f>
        <v>299.71061342880932</v>
      </c>
      <c r="D14" t="s">
        <v>38</v>
      </c>
      <c r="E14" s="3"/>
      <c r="F14" s="9"/>
      <c r="AY14">
        <v>3</v>
      </c>
      <c r="AZ14" s="2">
        <f>AB23</f>
        <v>239.65183646128202</v>
      </c>
      <c r="BA14" s="2">
        <f>AF23</f>
        <v>226.10931209388747</v>
      </c>
    </row>
    <row r="15" spans="1:58" ht="18.75" thickBot="1" x14ac:dyDescent="0.4">
      <c r="A15" s="14" t="s">
        <v>39</v>
      </c>
      <c r="B15" s="18" t="s">
        <v>40</v>
      </c>
      <c r="C15" s="26">
        <v>180</v>
      </c>
      <c r="D15" s="10" t="s">
        <v>41</v>
      </c>
      <c r="E15" s="10"/>
      <c r="F15" s="11"/>
      <c r="AY15">
        <v>4</v>
      </c>
      <c r="AZ15" s="2">
        <f>AK23</f>
        <v>238.41297863176607</v>
      </c>
      <c r="BA15" s="2">
        <f>AO23</f>
        <v>232.06311317413051</v>
      </c>
    </row>
    <row r="16" spans="1:58" ht="18" x14ac:dyDescent="0.35">
      <c r="A16" s="13" t="s">
        <v>80</v>
      </c>
      <c r="B16" s="46" t="s">
        <v>81</v>
      </c>
      <c r="C16" s="45">
        <f>0.875</f>
        <v>0.875</v>
      </c>
      <c r="D16" s="52">
        <f>1/(SQRT(3)*PI())</f>
        <v>0.1837762984739307</v>
      </c>
      <c r="E16" s="52">
        <f>0.159*2*C16</f>
        <v>0.27825</v>
      </c>
      <c r="F16">
        <f>E16*PI()</f>
        <v>0.87414815586135997</v>
      </c>
      <c r="G16">
        <f>1/SQRT(3)</f>
        <v>0.57735026918962584</v>
      </c>
      <c r="H16">
        <f>G16/PI()</f>
        <v>0.1837762984739307</v>
      </c>
      <c r="AY16">
        <v>5</v>
      </c>
      <c r="AZ16" s="2">
        <f>AT23</f>
        <v>238.72767198350761</v>
      </c>
      <c r="BA16" s="2">
        <f>AX23</f>
        <v>230.8603511128504</v>
      </c>
    </row>
    <row r="17" spans="1:61" ht="18" x14ac:dyDescent="0.35">
      <c r="A17" s="13" t="s">
        <v>82</v>
      </c>
      <c r="B17" s="47" t="s">
        <v>83</v>
      </c>
      <c r="C17" s="45">
        <f>0.875*0.93</f>
        <v>0.81375000000000008</v>
      </c>
      <c r="D17" s="53">
        <f>SQRT(3)/PI()</f>
        <v>0.55132889542179209</v>
      </c>
    </row>
    <row r="18" spans="1:61" x14ac:dyDescent="0.25">
      <c r="O18" s="38" t="s">
        <v>42</v>
      </c>
      <c r="X18" s="38" t="s">
        <v>43</v>
      </c>
      <c r="AG18" s="38" t="s">
        <v>44</v>
      </c>
      <c r="AP18" s="38" t="s">
        <v>45</v>
      </c>
    </row>
    <row r="19" spans="1:61" x14ac:dyDescent="0.25">
      <c r="C19" t="s">
        <v>46</v>
      </c>
      <c r="K19" t="s">
        <v>47</v>
      </c>
      <c r="O19" s="29" t="s">
        <v>48</v>
      </c>
      <c r="P19" s="29"/>
      <c r="Q19" s="29"/>
      <c r="R19" s="29"/>
      <c r="S19" s="29"/>
      <c r="T19" s="4" t="s">
        <v>49</v>
      </c>
      <c r="U19" s="4"/>
      <c r="V19" s="4"/>
      <c r="W19" s="4"/>
      <c r="X19" s="29" t="s">
        <v>48</v>
      </c>
      <c r="Y19" s="29"/>
      <c r="AC19" s="4" t="s">
        <v>49</v>
      </c>
      <c r="AD19" s="4"/>
      <c r="AE19" s="4"/>
      <c r="AF19" s="4"/>
      <c r="AG19" s="29" t="s">
        <v>48</v>
      </c>
      <c r="AH19" s="29"/>
      <c r="AL19" s="4" t="s">
        <v>49</v>
      </c>
      <c r="AM19" s="4"/>
      <c r="AN19" s="4"/>
      <c r="AO19" s="4"/>
      <c r="AP19" s="29" t="s">
        <v>48</v>
      </c>
      <c r="AQ19" s="29"/>
      <c r="AU19" s="4" t="s">
        <v>49</v>
      </c>
      <c r="AV19" s="4"/>
      <c r="AW19" s="4"/>
      <c r="AX19" s="4"/>
      <c r="AZ19" t="s">
        <v>50</v>
      </c>
    </row>
    <row r="20" spans="1:61" ht="60" x14ac:dyDescent="0.25">
      <c r="B20" s="23" t="s">
        <v>51</v>
      </c>
      <c r="C20" s="23" t="s">
        <v>52</v>
      </c>
      <c r="D20" s="23" t="s">
        <v>53</v>
      </c>
      <c r="E20" s="23" t="s">
        <v>54</v>
      </c>
      <c r="F20" s="23" t="s">
        <v>55</v>
      </c>
      <c r="G20" s="23" t="s">
        <v>56</v>
      </c>
      <c r="H20" s="23" t="s">
        <v>57</v>
      </c>
      <c r="I20" s="23" t="s">
        <v>58</v>
      </c>
      <c r="J20" s="23" t="s">
        <v>84</v>
      </c>
      <c r="K20" s="23" t="s">
        <v>55</v>
      </c>
      <c r="L20" s="30" t="s">
        <v>59</v>
      </c>
      <c r="M20" s="30" t="s">
        <v>60</v>
      </c>
      <c r="N20" s="34" t="s">
        <v>61</v>
      </c>
      <c r="O20" s="30" t="s">
        <v>54</v>
      </c>
      <c r="P20" s="30" t="s">
        <v>53</v>
      </c>
      <c r="Q20" s="30" t="s">
        <v>55</v>
      </c>
      <c r="R20" s="30" t="s">
        <v>59</v>
      </c>
      <c r="S20" s="30" t="s">
        <v>60</v>
      </c>
      <c r="T20" s="34" t="s">
        <v>54</v>
      </c>
      <c r="U20" s="34" t="s">
        <v>53</v>
      </c>
      <c r="V20" s="34" t="s">
        <v>55</v>
      </c>
      <c r="W20" s="34" t="s">
        <v>61</v>
      </c>
      <c r="X20" s="30" t="s">
        <v>54</v>
      </c>
      <c r="Y20" s="30" t="s">
        <v>53</v>
      </c>
      <c r="Z20" s="30" t="s">
        <v>55</v>
      </c>
      <c r="AA20" s="30" t="s">
        <v>59</v>
      </c>
      <c r="AB20" s="30" t="s">
        <v>60</v>
      </c>
      <c r="AC20" s="34" t="s">
        <v>54</v>
      </c>
      <c r="AD20" s="34" t="s">
        <v>53</v>
      </c>
      <c r="AE20" s="34" t="s">
        <v>55</v>
      </c>
      <c r="AF20" s="34" t="s">
        <v>61</v>
      </c>
      <c r="AG20" s="30" t="s">
        <v>54</v>
      </c>
      <c r="AH20" s="30" t="s">
        <v>53</v>
      </c>
      <c r="AI20" s="30" t="s">
        <v>55</v>
      </c>
      <c r="AJ20" s="30" t="s">
        <v>59</v>
      </c>
      <c r="AK20" s="30" t="s">
        <v>60</v>
      </c>
      <c r="AL20" s="34" t="s">
        <v>54</v>
      </c>
      <c r="AM20" s="34" t="s">
        <v>53</v>
      </c>
      <c r="AN20" s="34" t="s">
        <v>55</v>
      </c>
      <c r="AO20" s="34" t="s">
        <v>61</v>
      </c>
      <c r="AP20" s="30" t="s">
        <v>54</v>
      </c>
      <c r="AQ20" s="30" t="s">
        <v>53</v>
      </c>
      <c r="AR20" s="30" t="s">
        <v>55</v>
      </c>
      <c r="AS20" s="30" t="s">
        <v>59</v>
      </c>
      <c r="AT20" s="30" t="s">
        <v>60</v>
      </c>
      <c r="AU20" s="34" t="s">
        <v>54</v>
      </c>
      <c r="AV20" s="34" t="s">
        <v>53</v>
      </c>
      <c r="AW20" s="34" t="s">
        <v>55</v>
      </c>
      <c r="AX20" s="34" t="s">
        <v>61</v>
      </c>
      <c r="AY20" s="23" t="s">
        <v>62</v>
      </c>
      <c r="AZ20" s="30" t="s">
        <v>63</v>
      </c>
      <c r="BA20" s="34" t="s">
        <v>35</v>
      </c>
      <c r="BB20" s="41" t="s">
        <v>91</v>
      </c>
      <c r="BC20" t="s">
        <v>10</v>
      </c>
      <c r="BD20" t="s">
        <v>9</v>
      </c>
      <c r="BE20" t="s">
        <v>93</v>
      </c>
      <c r="BF20" t="s">
        <v>94</v>
      </c>
      <c r="BG20" t="s">
        <v>94</v>
      </c>
    </row>
    <row r="21" spans="1:61" ht="18" x14ac:dyDescent="0.35">
      <c r="B21" t="s">
        <v>65</v>
      </c>
      <c r="C21" t="s">
        <v>66</v>
      </c>
      <c r="D21" t="s">
        <v>67</v>
      </c>
      <c r="E21" t="s">
        <v>68</v>
      </c>
      <c r="F21" t="s">
        <v>69</v>
      </c>
      <c r="G21" s="1" t="s">
        <v>70</v>
      </c>
      <c r="H21" s="1" t="s">
        <v>71</v>
      </c>
      <c r="I21" s="1" t="s">
        <v>9</v>
      </c>
      <c r="J21" s="1" t="s">
        <v>72</v>
      </c>
      <c r="K21" s="1" t="s">
        <v>73</v>
      </c>
      <c r="L21" s="31" t="s">
        <v>3</v>
      </c>
      <c r="M21" s="31" t="s">
        <v>74</v>
      </c>
      <c r="N21" s="35" t="s">
        <v>74</v>
      </c>
      <c r="O21" s="29" t="s">
        <v>68</v>
      </c>
      <c r="P21" s="29" t="s">
        <v>67</v>
      </c>
      <c r="Q21" s="31" t="s">
        <v>73</v>
      </c>
      <c r="R21" s="31" t="s">
        <v>3</v>
      </c>
      <c r="S21" s="31" t="s">
        <v>74</v>
      </c>
      <c r="T21" s="4" t="s">
        <v>68</v>
      </c>
      <c r="U21" s="4" t="s">
        <v>67</v>
      </c>
      <c r="V21" s="35" t="s">
        <v>73</v>
      </c>
      <c r="W21" s="35" t="s">
        <v>74</v>
      </c>
      <c r="X21" s="29" t="s">
        <v>68</v>
      </c>
      <c r="Y21" s="29" t="s">
        <v>67</v>
      </c>
      <c r="Z21" s="31" t="s">
        <v>73</v>
      </c>
      <c r="AA21" s="31" t="s">
        <v>3</v>
      </c>
      <c r="AB21" s="31" t="s">
        <v>74</v>
      </c>
      <c r="AC21" s="4" t="s">
        <v>68</v>
      </c>
      <c r="AD21" s="4" t="s">
        <v>67</v>
      </c>
      <c r="AE21" s="35" t="s">
        <v>73</v>
      </c>
      <c r="AF21" s="35" t="s">
        <v>74</v>
      </c>
      <c r="AG21" s="29" t="s">
        <v>68</v>
      </c>
      <c r="AH21" s="29" t="s">
        <v>67</v>
      </c>
      <c r="AI21" s="31" t="s">
        <v>73</v>
      </c>
      <c r="AJ21" s="31" t="s">
        <v>3</v>
      </c>
      <c r="AK21" s="31" t="s">
        <v>74</v>
      </c>
      <c r="AL21" s="4" t="s">
        <v>68</v>
      </c>
      <c r="AM21" s="4" t="s">
        <v>67</v>
      </c>
      <c r="AN21" s="35" t="s">
        <v>73</v>
      </c>
      <c r="AO21" s="35" t="s">
        <v>74</v>
      </c>
      <c r="AP21" s="29" t="s">
        <v>68</v>
      </c>
      <c r="AQ21" s="29" t="s">
        <v>67</v>
      </c>
      <c r="AR21" s="31" t="s">
        <v>73</v>
      </c>
      <c r="AS21" s="31" t="s">
        <v>3</v>
      </c>
      <c r="AT21" s="31" t="s">
        <v>74</v>
      </c>
      <c r="AU21" s="4" t="s">
        <v>68</v>
      </c>
      <c r="AV21" s="4" t="s">
        <v>67</v>
      </c>
      <c r="AW21" s="35" t="s">
        <v>73</v>
      </c>
      <c r="AX21" s="35" t="s">
        <v>74</v>
      </c>
      <c r="AZ21" s="31" t="s">
        <v>74</v>
      </c>
      <c r="BA21" s="35" t="s">
        <v>74</v>
      </c>
      <c r="BB21" s="42" t="s">
        <v>74</v>
      </c>
      <c r="BF21" t="s">
        <v>85</v>
      </c>
      <c r="BG21" t="s">
        <v>9</v>
      </c>
    </row>
    <row r="22" spans="1:61" x14ac:dyDescent="0.25">
      <c r="A22" t="s">
        <v>75</v>
      </c>
      <c r="B22" t="s">
        <v>76</v>
      </c>
      <c r="C22" t="s">
        <v>41</v>
      </c>
      <c r="D22" t="s">
        <v>2</v>
      </c>
      <c r="E22" t="s">
        <v>1</v>
      </c>
      <c r="F22" t="s">
        <v>77</v>
      </c>
      <c r="G22" t="s">
        <v>0</v>
      </c>
      <c r="H22" t="s">
        <v>0</v>
      </c>
      <c r="I22" t="s">
        <v>0</v>
      </c>
      <c r="J22" t="s">
        <v>78</v>
      </c>
      <c r="L22" s="29"/>
      <c r="M22" s="29" t="s">
        <v>79</v>
      </c>
      <c r="N22" s="4" t="s">
        <v>79</v>
      </c>
      <c r="O22" s="29" t="s">
        <v>1</v>
      </c>
      <c r="P22" s="29" t="s">
        <v>2</v>
      </c>
      <c r="Q22" s="29"/>
      <c r="R22" s="29"/>
      <c r="S22" s="29" t="s">
        <v>79</v>
      </c>
      <c r="T22" s="4" t="s">
        <v>1</v>
      </c>
      <c r="U22" s="4" t="s">
        <v>2</v>
      </c>
      <c r="V22" s="4"/>
      <c r="W22" s="4" t="s">
        <v>79</v>
      </c>
      <c r="X22" s="29" t="s">
        <v>1</v>
      </c>
      <c r="Y22" s="29" t="s">
        <v>2</v>
      </c>
      <c r="Z22" s="29"/>
      <c r="AA22" s="29"/>
      <c r="AB22" s="29" t="s">
        <v>79</v>
      </c>
      <c r="AC22" s="4" t="s">
        <v>1</v>
      </c>
      <c r="AD22" s="4" t="s">
        <v>2</v>
      </c>
      <c r="AE22" s="4"/>
      <c r="AF22" s="4" t="s">
        <v>79</v>
      </c>
      <c r="AG22" s="29" t="s">
        <v>1</v>
      </c>
      <c r="AH22" s="29" t="s">
        <v>2</v>
      </c>
      <c r="AI22" s="29"/>
      <c r="AJ22" s="29"/>
      <c r="AK22" s="29" t="s">
        <v>79</v>
      </c>
      <c r="AL22" s="4" t="s">
        <v>1</v>
      </c>
      <c r="AM22" s="4" t="s">
        <v>2</v>
      </c>
      <c r="AN22" s="4"/>
      <c r="AO22" s="4" t="s">
        <v>79</v>
      </c>
      <c r="AP22" s="29" t="s">
        <v>1</v>
      </c>
      <c r="AQ22" s="29" t="s">
        <v>2</v>
      </c>
      <c r="AR22" s="29"/>
      <c r="AS22" s="29"/>
      <c r="AT22" s="29" t="s">
        <v>79</v>
      </c>
      <c r="AU22" s="4" t="s">
        <v>1</v>
      </c>
      <c r="AV22" s="4" t="s">
        <v>2</v>
      </c>
      <c r="AW22" s="4"/>
      <c r="AX22" s="4" t="s">
        <v>79</v>
      </c>
      <c r="AZ22" s="29" t="s">
        <v>79</v>
      </c>
      <c r="BA22" s="4" t="s">
        <v>79</v>
      </c>
      <c r="BB22" s="43" t="s">
        <v>79</v>
      </c>
      <c r="BC22" t="s">
        <v>17</v>
      </c>
      <c r="BD22" t="s">
        <v>85</v>
      </c>
    </row>
    <row r="23" spans="1:61" x14ac:dyDescent="0.25">
      <c r="A23">
        <f>B23*60</f>
        <v>6</v>
      </c>
      <c r="B23">
        <v>0.1</v>
      </c>
      <c r="C23">
        <f>C15</f>
        <v>180</v>
      </c>
      <c r="D23" s="2">
        <f>((1.12*10^-5)*(C23^2))+(0.00982*C23)+6.4</f>
        <v>8.5304800000000007</v>
      </c>
      <c r="E23" s="2">
        <f>((1.71*10^-6)*(C23^3))-(0.00173*(C23^2))+(0.6*C23)+536</f>
        <v>597.92071999999996</v>
      </c>
      <c r="F23" s="25">
        <f>B23*$E$10*4500*E23/(4*D23)</f>
        <v>2.3055310323630871</v>
      </c>
      <c r="G23">
        <f>SQRT($E$10^2/F23)</f>
        <v>1.9255855988668284E-4</v>
      </c>
      <c r="H23">
        <f>G23/SIN($E$4)</f>
        <v>5.630035646857507E-4</v>
      </c>
      <c r="I23" s="51">
        <f>(H23+$E$8)/2</f>
        <v>2.87216808494256E-4</v>
      </c>
      <c r="J23" s="28">
        <f>IF(0.6*F23^-0.4&gt;1,1,0.6*F23^-0.4)</f>
        <v>0.42957882078416698</v>
      </c>
      <c r="K23" s="24">
        <f>(B23*I23*4500*E23)/(2*D23)</f>
        <v>4.5296276656732353</v>
      </c>
      <c r="L23" s="33">
        <f>(0.00527*(K23^3))-(0.192*(K23^2))+2.39*K23</f>
        <v>7.3762216866211006</v>
      </c>
      <c r="M23" s="39">
        <f>$C$16*L23*0.159*$C$12*J23*2/(4500*E23*$E$11*I23)</f>
        <v>254.04391908769645</v>
      </c>
      <c r="N23" s="40">
        <f>$C$17*0.399*$C$12*J23*B23/(D23*$E$11)*SQRT(D23/(4500*E23*B23*I23))</f>
        <v>120.96223918545867</v>
      </c>
      <c r="O23" s="32">
        <f>((1.71*10^-6)*(M23^3))-(0.00173*(M23^2))+(0.6*M23)+536</f>
        <v>604.8114879903469</v>
      </c>
      <c r="P23" s="32">
        <f>((1.12*10^-5)*(M23^2))+(0.00982*M23)+6.4</f>
        <v>9.6175403890860629</v>
      </c>
      <c r="Q23" s="33">
        <f>($B23*$I23*4500*O23)/(2*P23)</f>
        <v>4.0639502529809839</v>
      </c>
      <c r="R23" s="33">
        <f>(0.00527*(Q23^3))-(0.192*(Q23^2))+2.39*Q23</f>
        <v>6.8955451689356071</v>
      </c>
      <c r="S23" s="39">
        <f>$C$16*R23*0.159*$C$12*$J23*2/(4500*O23*$E$11*$I23)</f>
        <v>234.78320275518485</v>
      </c>
      <c r="T23" s="36">
        <f>((1.71*10^-6)*(N23^3))-(0.00173*(N23^2))+(0.6*N23)+536</f>
        <v>586.2907540303944</v>
      </c>
      <c r="U23" s="36">
        <f>((1.12*10^-5)*(N23^2))+(0.00982*N23)+6.4</f>
        <v>7.7517260578593179</v>
      </c>
      <c r="V23" s="37">
        <f>($B23*$I23*4500*T23)/(2*U23)</f>
        <v>4.8877276547464499</v>
      </c>
      <c r="W23" s="40">
        <f t="shared" ref="W23:W54" si="3">$C$17*0.399*$C$12*$J23*$B23*2/(U23*$E$11)*SQRT(U23/(4500*T23*$B23*$I23))</f>
        <v>256.2905650987131</v>
      </c>
      <c r="X23" s="32">
        <f>((1.71*10^-6)*(S23^3))-(0.00173*(S23^2))+(0.6*S23)+536</f>
        <v>603.63767149490309</v>
      </c>
      <c r="Y23" s="32">
        <f>((1.12*10^-5)*(S23^2))+(0.00982*S23)+6.4</f>
        <v>9.3229503567709173</v>
      </c>
      <c r="Z23" s="33">
        <f>($B23*$I23*4500*X23)/(2*Y23)</f>
        <v>4.1842279260604158</v>
      </c>
      <c r="AA23" s="33">
        <f>(0.00527*(Z23^3))-(0.192*(Z23^2))+2.39*Z23</f>
        <v>7.0248757914449449</v>
      </c>
      <c r="AB23" s="39">
        <f>$C$16*AA23*0.159*$C$12*$J23*2/(4500*X23*$E$11*$I23)</f>
        <v>239.65183646128202</v>
      </c>
      <c r="AC23" s="36">
        <f>((1.71*10^-6)*(W23^3))-(0.00173*(W23^2))+(0.6*W23)+536</f>
        <v>604.92638022967958</v>
      </c>
      <c r="AD23" s="36">
        <f>((1.12*10^-5)*(W23^2))+(0.00982*W23)+6.4</f>
        <v>9.6524437113658816</v>
      </c>
      <c r="AE23" s="37">
        <f>($B23*$I23*4500*AC23)/(2*AD23)</f>
        <v>4.0500241842661007</v>
      </c>
      <c r="AF23" s="40">
        <f t="shared" ref="AF23:AF54" si="4">$C$17*0.399*$C$12*$J23*$B23*2/(AD23*$E$11)*SQRT(AD23/(4500*AC23*$B23*$I23))</f>
        <v>226.10931209388747</v>
      </c>
      <c r="AG23" s="32">
        <f>((1.71*10^-6)*(AB23^3))-(0.00173*(AB23^2))+(0.6*AB23)+536</f>
        <v>603.96831819596025</v>
      </c>
      <c r="AH23" s="32">
        <f>((1.12*10^-5)*(AB23^2))+(0.00982*AB23)+6.4</f>
        <v>9.3966306645055582</v>
      </c>
      <c r="AI23" s="33">
        <f>($B23*$I23*4500*AG23)/(2*AH23)</f>
        <v>4.1536927724325245</v>
      </c>
      <c r="AJ23" s="33">
        <f>(0.00527*(AI23^3))-(0.192*(AI23^2))+2.39*AI23</f>
        <v>6.992389383579833</v>
      </c>
      <c r="AK23" s="39">
        <f t="shared" ref="AK23:AK54" si="5">$C$16*AJ23*0.159*$C$12*$J23*2/(4500*AG23*$E$11*$I23)</f>
        <v>238.41297863176607</v>
      </c>
      <c r="AL23" s="36">
        <f>((1.71*10^-6)*(AF23^3))-(0.00173*(AF23^2))+(0.6*AF23)+536</f>
        <v>602.98609565693801</v>
      </c>
      <c r="AM23" s="36">
        <f>((1.12*10^-5)*(AF23^2))+(0.00982*AF23)+6.4</f>
        <v>9.1929981601363711</v>
      </c>
      <c r="AN23" s="37">
        <f>($B23*$I23*4500*AL23)/(2*AM23)</f>
        <v>4.2387957946296906</v>
      </c>
      <c r="AO23" s="40">
        <f t="shared" ref="AO23:AO54" si="6">$C$17*0.399*$C$12*$J23*$B23*2/(AM23*$E$11)*SQRT(AM23/(4500*AL23*$B23*$I23))</f>
        <v>232.06311317413051</v>
      </c>
      <c r="AP23" s="32">
        <f>((1.71*10^-6)*(AK23^3))-(0.00173*(AK23^2))+(0.6*AK23)+536</f>
        <v>603.88648082204384</v>
      </c>
      <c r="AQ23" s="32">
        <f>((1.12*10^-5)*(AK23^2))+(0.00982*AK23)+6.4</f>
        <v>9.377831832020739</v>
      </c>
      <c r="AR23" s="33">
        <f>($B23*$I23*4500*AP23)/(2*AQ23)</f>
        <v>4.1614553272876504</v>
      </c>
      <c r="AS23" s="33">
        <f>(0.00527*(AR23^3))-(0.192*(AR23^2))+2.39*AR23</f>
        <v>7.0006702765594788</v>
      </c>
      <c r="AT23" s="39">
        <f t="shared" ref="AT23:AT54" si="7">$C$16*AS23*0.159*$C$12*$J23*2/(4500*AP23*$E$11*$I23)</f>
        <v>238.72767198350761</v>
      </c>
      <c r="AU23" s="36">
        <f>((1.71*10^-6)*(AO23^3))-(0.00173*(AO23^2))+(0.6*AO23)+536</f>
        <v>603.44216745531514</v>
      </c>
      <c r="AV23" s="36">
        <f>((1.12*10^-5)*(AO23^2))+(0.00982*AO23)+6.4</f>
        <v>9.282016602525939</v>
      </c>
      <c r="AW23" s="37">
        <f>($B23*$I23*4500*AU23)/(2*AV23)</f>
        <v>4.2013192494232801</v>
      </c>
      <c r="AX23" s="40">
        <f t="shared" ref="AX23:AX54" si="8">$C$17*0.399*$C$12*$J23*$B23*2/(AV23*$E$11)*SQRT(AV23/(4500*AU23*$B23*$I23))</f>
        <v>230.8603511128504</v>
      </c>
      <c r="AY23" s="2">
        <f>AVERAGE(AW23,AR23,AN23,AI23,AE23,Z23,V23,Q23)</f>
        <v>4.2426491452283868</v>
      </c>
      <c r="AZ23" s="2">
        <f>AVERAGE(AT23,AK23,AB23,S23)</f>
        <v>237.89392245793516</v>
      </c>
      <c r="BA23" s="2">
        <f>AVERAGE(AX23,AO23,AF23,W23)</f>
        <v>236.3308353698954</v>
      </c>
      <c r="BB23" s="44">
        <f>IF(AY23&gt;5,BA23,AZ23)</f>
        <v>237.89392245793516</v>
      </c>
      <c r="BC23">
        <f>A23</f>
        <v>6</v>
      </c>
      <c r="BD23" s="2">
        <f>I23*10^6</f>
        <v>287.21680849425599</v>
      </c>
      <c r="BE23" s="2">
        <f>BB23*0.8</f>
        <v>190.31513796634815</v>
      </c>
      <c r="BF23" s="2">
        <f t="shared" ref="BF23:BF42" si="9">SQRT((2*BD23)^2/AY23)</f>
        <v>278.88251645068158</v>
      </c>
      <c r="BG23" s="24">
        <f t="shared" ref="BG23:BG31" si="10">BF23/BD23</f>
        <v>0.97098257554191481</v>
      </c>
    </row>
    <row r="24" spans="1:61" x14ac:dyDescent="0.25">
      <c r="A24">
        <f t="shared" ref="A24:A72" si="11">B24*60</f>
        <v>12</v>
      </c>
      <c r="B24">
        <v>0.2</v>
      </c>
      <c r="C24" s="2">
        <f>BB23</f>
        <v>237.89392245793516</v>
      </c>
      <c r="D24" s="2">
        <f t="shared" ref="D24:D72" si="12">((1.12*10^-5)*(C24^2))+(0.00982*C24)+6.4</f>
        <v>9.3699657239720509</v>
      </c>
      <c r="E24" s="2">
        <f t="shared" ref="E24:E72" si="13">((1.71*10^-6)*(C24^3))-(0.00173*(C24^2))+(0.6*C24)+536</f>
        <v>603.85173119210822</v>
      </c>
      <c r="F24" s="25">
        <f t="shared" ref="F24:F72" si="14">B24*$E$10*4500*E24/(4*D24)</f>
        <v>4.2395830482329453</v>
      </c>
      <c r="G24">
        <f t="shared" ref="G24:G72" si="15">SQRT($E$10^2/F24)</f>
        <v>1.4199947603005559E-4</v>
      </c>
      <c r="H24">
        <f t="shared" ref="H24:H72" si="16">G24/SIN($E$4)</f>
        <v>4.1517869283752941E-4</v>
      </c>
      <c r="I24" s="51">
        <f>(H24+$E$8)/2</f>
        <v>2.1330437257014538E-4</v>
      </c>
      <c r="J24" s="28">
        <f>IF(0.6*F24^-0.4&gt;1,1,0.6*F24^-0.4)</f>
        <v>0.3366836227574907</v>
      </c>
      <c r="K24" s="24">
        <f>(B24*I24*4500*E24)/(2*D24)</f>
        <v>6.1859240789972842</v>
      </c>
      <c r="L24" s="33">
        <f>(0.00527*(K24^3))-(0.192*(K24^2))+2.39*K24</f>
        <v>8.6848059772654818</v>
      </c>
      <c r="M24" s="39">
        <f>$C$16*L24*0.159*$C$12*J24*2/(4500*E24*$E$11*I24)</f>
        <v>312.56293441565896</v>
      </c>
      <c r="N24" s="40">
        <f t="shared" ref="N24:N54" si="17">$C$17*0.399*$C$12*J24*B24/(D24*$E$11)*SQRT(D24/(4500*E24*B24*I24))</f>
        <v>147.7145819829241</v>
      </c>
      <c r="O24" s="32">
        <f t="shared" ref="O24:O72" si="18">((1.71*10^-6)*(M24^3))-(0.00173*(M24^2))+(0.6*M24)+536</f>
        <v>606.74098707134112</v>
      </c>
      <c r="P24" s="32">
        <f t="shared" ref="P24:P72" si="19">((1.12*10^-5)*(M24^2))+(0.00982*M24)+6.4</f>
        <v>10.56355860123168</v>
      </c>
      <c r="Q24" s="33">
        <f t="shared" ref="Q24:Q72" si="20">($B24*$I24*4500*O24)/(2*P24)</f>
        <v>5.5132204686343931</v>
      </c>
      <c r="R24" s="33">
        <f t="shared" ref="R24:R71" si="21">(0.00527*(Q24^3))-(0.192*(Q24^2))+2.39*Q24</f>
        <v>8.2237759147850547</v>
      </c>
      <c r="S24" s="39">
        <f t="shared" ref="S24:S54" si="22">$C$16*R24*0.159*$C$12*$J24*2/(4500*O24*$E$11*$I24)</f>
        <v>294.56124372008765</v>
      </c>
      <c r="T24" s="36">
        <f t="shared" ref="T24:T72" si="23">((1.71*10^-6)*(N24^3))-(0.00173*(N24^2))+(0.6*N24)+536</f>
        <v>592.39229953198378</v>
      </c>
      <c r="U24" s="36">
        <f t="shared" ref="U24:U72" si="24">((1.12*10^-5)*(N24^2))+(0.00982*N24)+6.4</f>
        <v>8.094936689652684</v>
      </c>
      <c r="V24" s="37">
        <f t="shared" ref="V24:V72" si="25">($B24*$I24*4500*T24)/(2*U24)</f>
        <v>7.0243835962124894</v>
      </c>
      <c r="W24" s="40">
        <f t="shared" si="3"/>
        <v>320.90471187109125</v>
      </c>
      <c r="X24" s="32">
        <f t="shared" ref="X24:X72" si="26">((1.71*10^-6)*(S24^3))-(0.00173*(S24^2))+(0.6*S24)+536</f>
        <v>606.33517658008827</v>
      </c>
      <c r="Y24" s="32">
        <f t="shared" ref="Y24:Y72" si="27">((1.12*10^-5)*(S24^2))+(0.00982*S24)+6.4</f>
        <v>10.264374267912819</v>
      </c>
      <c r="Z24" s="33">
        <f t="shared" ref="Z24:Z72" si="28">($B24*$I24*4500*X24)/(2*Y24)</f>
        <v>5.6701240099329882</v>
      </c>
      <c r="AA24" s="33">
        <f t="shared" ref="AA24:AA72" si="29">(0.00527*(Z24^3))-(0.192*(Z24^2))+2.39*Z24</f>
        <v>8.3394386748670541</v>
      </c>
      <c r="AB24" s="39">
        <f t="shared" ref="AB24:AB54" si="30">$C$16*AA24*0.159*$C$12*$J24*2/(4500*X24*$E$11*$I24)</f>
        <v>298.90399901534602</v>
      </c>
      <c r="AC24" s="36">
        <f t="shared" ref="AC24:AC72" si="31">((1.71*10^-6)*(W24^3))-(0.00173*(W24^2))+(0.6*W24)+536</f>
        <v>606.8975950519656</v>
      </c>
      <c r="AD24" s="36">
        <f t="shared" ref="AD24:AD72" si="32">((1.12*10^-5)*(W24^2))+(0.00982*W24)+6.4</f>
        <v>10.704658412506079</v>
      </c>
      <c r="AE24" s="37">
        <f t="shared" ref="AE24:AE72" si="33">($B24*$I24*4500*AC24)/(2*AD24)</f>
        <v>5.4419541084134782</v>
      </c>
      <c r="AF24" s="40">
        <f t="shared" si="4"/>
        <v>275.70421737994587</v>
      </c>
      <c r="AG24" s="32">
        <f t="shared" ref="AG24:AG72" si="34">((1.71*10^-6)*(AB24^3))-(0.00173*(AB24^2))+(0.6*AB24)+536</f>
        <v>606.44379309271835</v>
      </c>
      <c r="AH24" s="32">
        <f t="shared" ref="AH24:AH72" si="35">((1.12*10^-5)*(AB24^2))+(0.00982*AB24)+6.4</f>
        <v>10.335885597357198</v>
      </c>
      <c r="AI24" s="33">
        <f t="shared" ref="AI24:AI72" si="36">($B24*$I24*4500*AG24)/(2*AH24)</f>
        <v>5.6319025791074564</v>
      </c>
      <c r="AJ24" s="33">
        <f t="shared" ref="AJ24:AJ72" si="37">(0.00527*(AI24^3))-(0.192*(AI24^2))+2.39*AI24</f>
        <v>8.311732395808292</v>
      </c>
      <c r="AK24" s="39">
        <f t="shared" si="5"/>
        <v>297.85758741127574</v>
      </c>
      <c r="AL24" s="36">
        <f t="shared" ref="AL24:AL72" si="38">((1.71*10^-6)*(AF24^3))-(0.00173*(AF24^2))+(0.6*AF24)+536</f>
        <v>605.75692164891666</v>
      </c>
      <c r="AM24" s="36">
        <f t="shared" ref="AM24:AM72" si="39">((1.12*10^-5)*(AF24^2))+(0.00982*AF24)+6.4</f>
        <v>9.9587589480592591</v>
      </c>
      <c r="AN24" s="37">
        <f t="shared" ref="AN24:AN72" si="40">($B24*$I24*4500*AL24)/(2*AM24)</f>
        <v>5.838555823001049</v>
      </c>
      <c r="AO24" s="40">
        <f t="shared" si="6"/>
        <v>286.11176836414251</v>
      </c>
      <c r="AP24" s="32">
        <f>((1.71*10^-6)*(AK24^3))-(0.00173*(AK24^2))+(0.6*AK24)+536</f>
        <v>606.41833132936051</v>
      </c>
      <c r="AQ24" s="32">
        <f t="shared" ref="AQ24:AQ72" si="41">((1.12*10^-5)*(AK24^2))+(0.00982*AK24)+6.4</f>
        <v>10.318615903017545</v>
      </c>
      <c r="AR24" s="33">
        <f t="shared" ref="AR24:AR72" si="42">($B24*$I24*4500*AP24)/(2*AQ24)</f>
        <v>5.6410915284323604</v>
      </c>
      <c r="AS24" s="33">
        <f t="shared" ref="AS24:AS71" si="43">(0.00527*(AR24^3))-(0.192*(AR24^2))+2.39*AR24</f>
        <v>8.3184207610248464</v>
      </c>
      <c r="AT24" s="39">
        <f t="shared" si="7"/>
        <v>298.10978658351786</v>
      </c>
      <c r="AU24" s="36">
        <f t="shared" ref="AU24:AU72" si="44">((1.71*10^-6)*(AO24^3))-(0.00173*(AO24^2))+(0.6*AO24)+536</f>
        <v>606.09942750749258</v>
      </c>
      <c r="AV24" s="36">
        <f t="shared" ref="AV24:AV72" si="45">((1.12*10^-5)*(AO24^2))+(0.00982*AO24)+6.4</f>
        <v>10.126448938096196</v>
      </c>
      <c r="AW24" s="37">
        <f t="shared" ref="AW24:AW72" si="46">($B24*$I24*4500*AU24)/(2*AV24)</f>
        <v>5.7451182048583052</v>
      </c>
      <c r="AX24" s="40">
        <f t="shared" si="8"/>
        <v>283.65275037431365</v>
      </c>
      <c r="AY24" s="2">
        <f>AVERAGE(AW24,AR24,AN24,AI24,AE24,Z24,V24,Q24)</f>
        <v>5.8132937898240655</v>
      </c>
      <c r="AZ24" s="2">
        <f t="shared" ref="AZ24:AZ72" si="47">AVERAGE(AT24,AK24,AB24,S24)</f>
        <v>297.35815418255686</v>
      </c>
      <c r="BA24" s="2">
        <f t="shared" ref="BA24:BA72" si="48">AVERAGE(AX24,AO24,AF24,W24)</f>
        <v>291.59336199737334</v>
      </c>
      <c r="BB24" s="44">
        <f>IF(AY24&gt;5,BA24,AZ24)</f>
        <v>291.59336199737334</v>
      </c>
      <c r="BC24">
        <f t="shared" ref="BC24:BC72" si="49">A24</f>
        <v>12</v>
      </c>
      <c r="BD24" s="2">
        <f t="shared" ref="BD24:BD72" si="50">I24*10^6</f>
        <v>213.30437257014538</v>
      </c>
      <c r="BE24" s="2">
        <f t="shared" ref="BE24:BE72" si="51">BB24*0.8</f>
        <v>233.27468959789869</v>
      </c>
      <c r="BF24" s="2">
        <f t="shared" si="9"/>
        <v>176.93698312923621</v>
      </c>
      <c r="BG24" s="24">
        <f t="shared" si="10"/>
        <v>0.82950471665108638</v>
      </c>
    </row>
    <row r="25" spans="1:61" x14ac:dyDescent="0.25">
      <c r="A25">
        <f t="shared" si="11"/>
        <v>18</v>
      </c>
      <c r="B25">
        <v>0.3</v>
      </c>
      <c r="C25" s="2">
        <f>BB24</f>
        <v>291.59336199737334</v>
      </c>
      <c r="D25" s="2">
        <f t="shared" si="12"/>
        <v>10.215745728936636</v>
      </c>
      <c r="E25" s="2">
        <f t="shared" si="13"/>
        <v>606.25624848238317</v>
      </c>
      <c r="F25" s="25">
        <f>B25*$E$10*4500*E25/(4*D25)</f>
        <v>5.8560967815341032</v>
      </c>
      <c r="G25">
        <f t="shared" si="15"/>
        <v>1.2082149148456778E-4</v>
      </c>
      <c r="H25">
        <f t="shared" si="16"/>
        <v>3.5325840843684626E-4</v>
      </c>
      <c r="I25" s="51">
        <f>(H25+$E$8)/2</f>
        <v>1.823442303698038E-4</v>
      </c>
      <c r="J25" s="28">
        <f t="shared" ref="J25:J72" si="52">IF(0.6*F25^-0.4&gt;1,1,0.6*F25^-0.4)</f>
        <v>0.29587478283152668</v>
      </c>
      <c r="K25" s="24">
        <f t="shared" ref="K25:K72" si="53">(B25*I25*4500*E25)/(2*D25)</f>
        <v>7.304356341623663</v>
      </c>
      <c r="L25" s="33">
        <f t="shared" ref="L25:L72" si="54">(0.00527*(K25^3))-(0.192*(K25^2))+2.39*K25</f>
        <v>9.2673083793581625</v>
      </c>
      <c r="M25" s="39">
        <f t="shared" ref="M25:M72" si="55">$C$16*L25*0.159*$C$12*J25*2/(4500*E25*$E$11*I25)</f>
        <v>341.50632405953951</v>
      </c>
      <c r="N25" s="40">
        <f t="shared" si="17"/>
        <v>164.35383173401934</v>
      </c>
      <c r="O25" s="32">
        <f t="shared" si="18"/>
        <v>607.24692522098849</v>
      </c>
      <c r="P25" s="32">
        <f t="shared" si="19"/>
        <v>11.059809679238462</v>
      </c>
      <c r="Q25" s="33">
        <f t="shared" si="20"/>
        <v>6.7579265913051225</v>
      </c>
      <c r="R25" s="33">
        <f t="shared" si="21"/>
        <v>9.009375369610396</v>
      </c>
      <c r="S25" s="39">
        <f t="shared" si="22"/>
        <v>331.45969069503781</v>
      </c>
      <c r="T25" s="36">
        <f t="shared" si="23"/>
        <v>595.47286427420511</v>
      </c>
      <c r="U25" s="36">
        <f t="shared" si="24"/>
        <v>8.3164910660913982</v>
      </c>
      <c r="V25" s="37">
        <f t="shared" si="25"/>
        <v>8.8128757896230461</v>
      </c>
      <c r="W25" s="40">
        <f t="shared" si="3"/>
        <v>367.5969761143748</v>
      </c>
      <c r="X25" s="32">
        <f t="shared" si="26"/>
        <v>607.07980227556129</v>
      </c>
      <c r="Y25" s="32">
        <f t="shared" si="27"/>
        <v>10.885428060048554</v>
      </c>
      <c r="Z25" s="33">
        <f t="shared" si="28"/>
        <v>6.8642970793731815</v>
      </c>
      <c r="AA25" s="33">
        <f t="shared" si="29"/>
        <v>9.0634108900568506</v>
      </c>
      <c r="AB25" s="39">
        <f t="shared" si="30"/>
        <v>333.53948089057656</v>
      </c>
      <c r="AC25" s="36">
        <f t="shared" si="31"/>
        <v>607.72747735014445</v>
      </c>
      <c r="AD25" s="36">
        <f t="shared" si="32"/>
        <v>11.523230718145602</v>
      </c>
      <c r="AE25" s="37">
        <f t="shared" si="33"/>
        <v>6.4912810689720946</v>
      </c>
      <c r="AF25" s="40">
        <f t="shared" si="4"/>
        <v>309.12306832898599</v>
      </c>
      <c r="AG25" s="32">
        <f t="shared" si="34"/>
        <v>607.11454606877612</v>
      </c>
      <c r="AH25" s="32">
        <f t="shared" si="35"/>
        <v>10.921341857848322</v>
      </c>
      <c r="AI25" s="33">
        <f t="shared" si="36"/>
        <v>6.8421160477205385</v>
      </c>
      <c r="AJ25" s="33">
        <f t="shared" si="37"/>
        <v>9.0523002172754801</v>
      </c>
      <c r="AK25" s="39">
        <f t="shared" si="5"/>
        <v>333.11153651448524</v>
      </c>
      <c r="AL25" s="36">
        <f t="shared" si="38"/>
        <v>606.67161814868382</v>
      </c>
      <c r="AM25" s="36">
        <f t="shared" si="39"/>
        <v>10.505827730369665</v>
      </c>
      <c r="AN25" s="37">
        <f t="shared" si="40"/>
        <v>7.1075381867009861</v>
      </c>
      <c r="AO25" s="40">
        <f t="shared" si="6"/>
        <v>324.02685387233197</v>
      </c>
      <c r="AP25" s="32">
        <f t="shared" ref="AP25:AP72" si="56">((1.71*10^-6)*(AK25^3))-(0.00173*(AK25^2))+(0.6*AK25)+536</f>
        <v>607.10741349492923</v>
      </c>
      <c r="AQ25" s="32">
        <f t="shared" si="41"/>
        <v>10.913944201073507</v>
      </c>
      <c r="AR25" s="33">
        <f t="shared" si="42"/>
        <v>6.846673312374663</v>
      </c>
      <c r="AS25" s="33">
        <f t="shared" si="43"/>
        <v>9.0545897122825423</v>
      </c>
      <c r="AT25" s="39">
        <f t="shared" si="7"/>
        <v>333.19970115015894</v>
      </c>
      <c r="AU25" s="36">
        <f t="shared" si="44"/>
        <v>606.95289258152582</v>
      </c>
      <c r="AV25" s="36">
        <f t="shared" si="45"/>
        <v>10.757869807766799</v>
      </c>
      <c r="AW25" s="37">
        <f t="shared" si="46"/>
        <v>6.9442364549072773</v>
      </c>
      <c r="AX25" s="40">
        <f t="shared" si="8"/>
        <v>320.13440151018324</v>
      </c>
      <c r="AY25" s="2">
        <f t="shared" ref="AY25:AY72" si="57">AVERAGE(AW25,AR25,AN25,AI25,AE25,Z25,V25,Q25)</f>
        <v>7.0833680663721132</v>
      </c>
      <c r="AZ25" s="2">
        <f t="shared" si="47"/>
        <v>332.82760231256464</v>
      </c>
      <c r="BA25" s="2">
        <f t="shared" si="48"/>
        <v>330.22032495646897</v>
      </c>
      <c r="BB25" s="44">
        <f>IF(AY25&gt;5,BA25,AZ25)</f>
        <v>330.22032495646897</v>
      </c>
      <c r="BC25">
        <f t="shared" si="49"/>
        <v>18</v>
      </c>
      <c r="BD25" s="2">
        <f t="shared" si="50"/>
        <v>182.3442303698038</v>
      </c>
      <c r="BE25" s="2">
        <f t="shared" si="51"/>
        <v>264.17625996517518</v>
      </c>
      <c r="BF25" s="2">
        <f t="shared" si="9"/>
        <v>137.02572772457492</v>
      </c>
      <c r="BG25" s="24">
        <f t="shared" si="10"/>
        <v>0.75146730689904173</v>
      </c>
      <c r="BH25" t="s">
        <v>12</v>
      </c>
      <c r="BI25" t="s">
        <v>10</v>
      </c>
    </row>
    <row r="26" spans="1:61" x14ac:dyDescent="0.25">
      <c r="A26">
        <f t="shared" si="11"/>
        <v>24</v>
      </c>
      <c r="B26">
        <v>0.4</v>
      </c>
      <c r="C26" s="2">
        <f t="shared" ref="C26:C72" si="58">BB25</f>
        <v>330.22032495646897</v>
      </c>
      <c r="D26" s="2">
        <f t="shared" si="12"/>
        <v>10.864072776833313</v>
      </c>
      <c r="E26" s="2">
        <f t="shared" si="13"/>
        <v>607.05898223513157</v>
      </c>
      <c r="F26" s="25">
        <f t="shared" si="14"/>
        <v>7.35189087872378</v>
      </c>
      <c r="G26">
        <f t="shared" si="15"/>
        <v>1.0783228029003597E-4</v>
      </c>
      <c r="H26">
        <f t="shared" si="16"/>
        <v>3.1528049559162652E-4</v>
      </c>
      <c r="I26" s="51">
        <f t="shared" ref="I26:I72" si="59">(H26+$E$8)/2</f>
        <v>1.6335527394719393E-4</v>
      </c>
      <c r="J26" s="28">
        <f t="shared" si="52"/>
        <v>0.27014170055383091</v>
      </c>
      <c r="K26" s="24">
        <f t="shared" si="53"/>
        <v>8.215119646559188</v>
      </c>
      <c r="L26" s="33">
        <f t="shared" si="54"/>
        <v>9.598215493133532</v>
      </c>
      <c r="M26" s="39">
        <f t="shared" si="55"/>
        <v>360.00083925765392</v>
      </c>
      <c r="N26" s="40">
        <f t="shared" si="17"/>
        <v>177.40411346185428</v>
      </c>
      <c r="O26" s="32">
        <f t="shared" si="18"/>
        <v>607.5737761541136</v>
      </c>
      <c r="P26" s="32">
        <f t="shared" si="19"/>
        <v>11.386735009291773</v>
      </c>
      <c r="Q26" s="33">
        <f t="shared" si="20"/>
        <v>7.8446844077092033</v>
      </c>
      <c r="R26" s="33">
        <f t="shared" si="21"/>
        <v>9.4774104255164122</v>
      </c>
      <c r="S26" s="39">
        <f t="shared" si="22"/>
        <v>355.16860879941203</v>
      </c>
      <c r="T26" s="36">
        <f t="shared" si="23"/>
        <v>597.54297343078304</v>
      </c>
      <c r="U26" s="36">
        <f t="shared" si="24"/>
        <v>8.4945972522950974</v>
      </c>
      <c r="V26" s="37">
        <f t="shared" si="25"/>
        <v>10.34194016488186</v>
      </c>
      <c r="W26" s="40">
        <f t="shared" si="3"/>
        <v>404.43570601798234</v>
      </c>
      <c r="X26" s="32">
        <f t="shared" si="26"/>
        <v>607.48329892066522</v>
      </c>
      <c r="Y26" s="32">
        <f t="shared" si="27"/>
        <v>11.300576833987137</v>
      </c>
      <c r="Z26" s="33">
        <f t="shared" si="28"/>
        <v>7.9033169681715911</v>
      </c>
      <c r="AA26" s="33">
        <f t="shared" si="29"/>
        <v>9.4977328506737848</v>
      </c>
      <c r="AB26" s="39">
        <f t="shared" si="30"/>
        <v>355.98320883610614</v>
      </c>
      <c r="AC26" s="36">
        <f t="shared" si="31"/>
        <v>608.80971872826126</v>
      </c>
      <c r="AD26" s="36">
        <f t="shared" si="32"/>
        <v>12.203522924481941</v>
      </c>
      <c r="AE26" s="37">
        <f t="shared" si="33"/>
        <v>7.3345255382401797</v>
      </c>
      <c r="AF26" s="40">
        <f t="shared" si="4"/>
        <v>334.28897999169544</v>
      </c>
      <c r="AG26" s="32">
        <f t="shared" si="34"/>
        <v>607.49821850225953</v>
      </c>
      <c r="AH26" s="32">
        <f t="shared" si="35"/>
        <v>11.315064414470971</v>
      </c>
      <c r="AI26" s="33">
        <f t="shared" si="36"/>
        <v>7.8933915746035845</v>
      </c>
      <c r="AJ26" s="33">
        <f t="shared" si="37"/>
        <v>9.4943252334609056</v>
      </c>
      <c r="AK26" s="39">
        <f t="shared" si="5"/>
        <v>355.84674893337768</v>
      </c>
      <c r="AL26" s="36">
        <f t="shared" si="38"/>
        <v>607.12702178261645</v>
      </c>
      <c r="AM26" s="36">
        <f t="shared" si="39"/>
        <v>10.934307951529998</v>
      </c>
      <c r="AN26" s="37">
        <f t="shared" si="40"/>
        <v>8.1632656829597678</v>
      </c>
      <c r="AO26" s="40">
        <f t="shared" si="6"/>
        <v>353.64703979513359</v>
      </c>
      <c r="AP26" s="32">
        <f t="shared" si="56"/>
        <v>607.49571045748553</v>
      </c>
      <c r="AQ26" s="32">
        <f t="shared" si="41"/>
        <v>11.312636452262058</v>
      </c>
      <c r="AR26" s="33">
        <f t="shared" si="42"/>
        <v>7.8950530904151801</v>
      </c>
      <c r="AS26" s="33">
        <f t="shared" si="43"/>
        <v>9.4948965922050181</v>
      </c>
      <c r="AT26" s="39">
        <f t="shared" si="7"/>
        <v>355.86963262632833</v>
      </c>
      <c r="AU26" s="36">
        <f t="shared" si="44"/>
        <v>607.45575382756647</v>
      </c>
      <c r="AV26" s="36">
        <f t="shared" si="45"/>
        <v>11.273555692853854</v>
      </c>
      <c r="AW26" s="37">
        <f t="shared" si="46"/>
        <v>7.9219008982394303</v>
      </c>
      <c r="AX26" s="40">
        <f t="shared" si="8"/>
        <v>348.19110855110199</v>
      </c>
      <c r="AY26" s="2">
        <f t="shared" si="57"/>
        <v>8.1622597906526</v>
      </c>
      <c r="AZ26" s="2">
        <f t="shared" si="47"/>
        <v>355.71704979880599</v>
      </c>
      <c r="BA26" s="2">
        <f t="shared" si="48"/>
        <v>360.14070858897833</v>
      </c>
      <c r="BB26" s="44">
        <f t="shared" ref="BB26:BB72" si="60">IF(AY26&gt;5,BA26,AZ26)</f>
        <v>360.14070858897833</v>
      </c>
      <c r="BC26">
        <f t="shared" si="49"/>
        <v>24</v>
      </c>
      <c r="BD26" s="2">
        <f t="shared" si="50"/>
        <v>163.35527394719392</v>
      </c>
      <c r="BE26" s="2">
        <f t="shared" si="51"/>
        <v>288.11256687118265</v>
      </c>
      <c r="BF26" s="2">
        <f t="shared" si="9"/>
        <v>114.35573490063432</v>
      </c>
      <c r="BG26" s="24">
        <f t="shared" si="10"/>
        <v>0.70004311545889142</v>
      </c>
      <c r="BH26">
        <v>20</v>
      </c>
      <c r="BI26">
        <v>1020</v>
      </c>
    </row>
    <row r="27" spans="1:61" x14ac:dyDescent="0.25">
      <c r="A27" s="20">
        <f t="shared" si="11"/>
        <v>30</v>
      </c>
      <c r="B27" s="20">
        <v>0.5</v>
      </c>
      <c r="C27" s="27">
        <f t="shared" si="58"/>
        <v>360.14070858897833</v>
      </c>
      <c r="D27" s="2">
        <f t="shared" si="12"/>
        <v>11.389236654153049</v>
      </c>
      <c r="E27" s="2">
        <f t="shared" si="13"/>
        <v>607.57647067619689</v>
      </c>
      <c r="F27" s="25">
        <f t="shared" si="14"/>
        <v>8.7735866936688378</v>
      </c>
      <c r="G27">
        <f t="shared" si="15"/>
        <v>9.8709676694121886E-5</v>
      </c>
      <c r="H27">
        <f t="shared" si="16"/>
        <v>2.8860778705694931E-4</v>
      </c>
      <c r="I27" s="51">
        <f t="shared" si="59"/>
        <v>1.5001891967985533E-4</v>
      </c>
      <c r="J27" s="28">
        <f t="shared" si="52"/>
        <v>0.251698357598168</v>
      </c>
      <c r="K27" s="24">
        <f t="shared" si="53"/>
        <v>9.0033655974273508</v>
      </c>
      <c r="L27" s="33">
        <f t="shared" si="54"/>
        <v>9.8005517279873899</v>
      </c>
      <c r="M27" s="39">
        <f t="shared" si="55"/>
        <v>372.62274750295529</v>
      </c>
      <c r="N27" s="40">
        <f t="shared" si="17"/>
        <v>188.26301236432045</v>
      </c>
      <c r="O27" s="32">
        <f t="shared" si="18"/>
        <v>607.83877202934116</v>
      </c>
      <c r="P27" s="32">
        <f t="shared" si="19"/>
        <v>11.614249754393516</v>
      </c>
      <c r="Q27" s="33">
        <f t="shared" si="20"/>
        <v>8.832747063191599</v>
      </c>
      <c r="R27" s="33">
        <f t="shared" si="21"/>
        <v>9.7625206257908133</v>
      </c>
      <c r="S27" s="39">
        <f t="shared" si="22"/>
        <v>371.01660826676414</v>
      </c>
      <c r="T27" s="36">
        <f t="shared" si="23"/>
        <v>599.05162734215548</v>
      </c>
      <c r="U27" s="36">
        <f t="shared" si="24"/>
        <v>8.6457039538518963</v>
      </c>
      <c r="V27" s="37">
        <f t="shared" si="25"/>
        <v>11.693982728506059</v>
      </c>
      <c r="W27" s="40">
        <f t="shared" si="3"/>
        <v>435.22163366458273</v>
      </c>
      <c r="X27" s="32">
        <f t="shared" si="26"/>
        <v>607.80226951956104</v>
      </c>
      <c r="Y27" s="32">
        <f t="shared" si="27"/>
        <v>11.585100317609088</v>
      </c>
      <c r="Z27" s="33">
        <f t="shared" si="28"/>
        <v>8.8544394974212093</v>
      </c>
      <c r="AA27" s="33">
        <f t="shared" si="29"/>
        <v>9.7675217587365104</v>
      </c>
      <c r="AB27" s="39">
        <f t="shared" si="30"/>
        <v>371.22896562575346</v>
      </c>
      <c r="AC27" s="36">
        <f t="shared" si="31"/>
        <v>610.4103354485087</v>
      </c>
      <c r="AD27" s="36">
        <f t="shared" si="32"/>
        <v>12.795356591174489</v>
      </c>
      <c r="AE27" s="37">
        <f t="shared" si="33"/>
        <v>8.0513376658948257</v>
      </c>
      <c r="AF27" s="40">
        <f t="shared" si="4"/>
        <v>354.40973694505794</v>
      </c>
      <c r="AG27" s="32">
        <f t="shared" si="34"/>
        <v>607.8070435184228</v>
      </c>
      <c r="AH27" s="32">
        <f t="shared" si="35"/>
        <v>11.588951025544048</v>
      </c>
      <c r="AI27" s="33">
        <f t="shared" si="36"/>
        <v>8.8515669210820569</v>
      </c>
      <c r="AJ27" s="33">
        <f t="shared" si="37"/>
        <v>9.7668623127181249</v>
      </c>
      <c r="AK27" s="39">
        <f t="shared" si="5"/>
        <v>371.20098680640893</v>
      </c>
      <c r="AL27" s="36">
        <f t="shared" si="38"/>
        <v>607.46950999867647</v>
      </c>
      <c r="AM27" s="36">
        <f t="shared" si="39"/>
        <v>11.28709374718488</v>
      </c>
      <c r="AN27" s="37">
        <f t="shared" si="40"/>
        <v>9.0832424961101701</v>
      </c>
      <c r="AO27" s="40">
        <f t="shared" si="6"/>
        <v>378.25917641649352</v>
      </c>
      <c r="AP27" s="32">
        <f t="shared" si="56"/>
        <v>607.80641362991787</v>
      </c>
      <c r="AQ27" s="32">
        <f t="shared" si="41"/>
        <v>11.588443623626716</v>
      </c>
      <c r="AR27" s="33">
        <f t="shared" si="42"/>
        <v>8.8519453148575629</v>
      </c>
      <c r="AS27" s="33">
        <f t="shared" si="43"/>
        <v>9.7669492281985626</v>
      </c>
      <c r="AT27" s="39">
        <f t="shared" si="7"/>
        <v>371.20467482099264</v>
      </c>
      <c r="AU27" s="36">
        <f t="shared" si="44"/>
        <v>607.97456319317519</v>
      </c>
      <c r="AV27" s="36">
        <f t="shared" si="45"/>
        <v>11.717001163294746</v>
      </c>
      <c r="AW27" s="37">
        <f t="shared" si="46"/>
        <v>8.7572448469061328</v>
      </c>
      <c r="AX27" s="40">
        <f t="shared" si="8"/>
        <v>371.10075670056415</v>
      </c>
      <c r="AY27" s="27">
        <f t="shared" si="57"/>
        <v>9.1220633167462033</v>
      </c>
      <c r="AZ27" s="27">
        <f t="shared" si="47"/>
        <v>371.16280887997982</v>
      </c>
      <c r="BA27" s="27">
        <f t="shared" si="48"/>
        <v>384.74782593167453</v>
      </c>
      <c r="BB27" s="49">
        <f>IF(AY27&gt;5,BA27,AZ27)</f>
        <v>384.74782593167453</v>
      </c>
      <c r="BC27" s="20">
        <f t="shared" si="49"/>
        <v>30</v>
      </c>
      <c r="BD27" s="27">
        <f>I27*10^6</f>
        <v>150.01891967985532</v>
      </c>
      <c r="BE27" s="27">
        <f t="shared" si="51"/>
        <v>307.79826074533963</v>
      </c>
      <c r="BF27" s="27">
        <f t="shared" si="9"/>
        <v>99.341219757423261</v>
      </c>
      <c r="BG27" s="54">
        <f t="shared" si="10"/>
        <v>0.66219127540326428</v>
      </c>
      <c r="BH27">
        <v>50</v>
      </c>
      <c r="BI27">
        <v>350</v>
      </c>
    </row>
    <row r="28" spans="1:61" x14ac:dyDescent="0.25">
      <c r="A28">
        <f t="shared" si="11"/>
        <v>36</v>
      </c>
      <c r="B28">
        <v>0.6</v>
      </c>
      <c r="C28" s="2">
        <f t="shared" si="58"/>
        <v>384.74782593167453</v>
      </c>
      <c r="D28" s="2">
        <f t="shared" si="12"/>
        <v>11.836169613711526</v>
      </c>
      <c r="E28" s="2">
        <f t="shared" si="13"/>
        <v>608.14755922960637</v>
      </c>
      <c r="F28" s="25">
        <f t="shared" si="14"/>
        <v>10.140278343137204</v>
      </c>
      <c r="G28">
        <f t="shared" si="15"/>
        <v>9.181705889714731E-5</v>
      </c>
      <c r="H28">
        <f t="shared" si="16"/>
        <v>2.6845512081351264E-4</v>
      </c>
      <c r="I28" s="51">
        <f t="shared" si="59"/>
        <v>1.3994258655813699E-4</v>
      </c>
      <c r="J28" s="28">
        <f t="shared" si="52"/>
        <v>0.2375370178822033</v>
      </c>
      <c r="K28" s="24">
        <f t="shared" si="53"/>
        <v>9.7069200640024107</v>
      </c>
      <c r="L28" s="33">
        <f t="shared" si="54"/>
        <v>9.9285619902831996</v>
      </c>
      <c r="M28" s="39">
        <f t="shared" si="55"/>
        <v>381.54364485240035</v>
      </c>
      <c r="N28" s="40">
        <f t="shared" si="17"/>
        <v>197.57969976031831</v>
      </c>
      <c r="O28" s="32">
        <f t="shared" si="18"/>
        <v>608.05974062889845</v>
      </c>
      <c r="P28" s="32">
        <f t="shared" si="19"/>
        <v>11.777204785235824</v>
      </c>
      <c r="Q28" s="33">
        <f t="shared" si="20"/>
        <v>9.7541108854120164</v>
      </c>
      <c r="R28" s="33">
        <f t="shared" si="21"/>
        <v>9.9356605344977353</v>
      </c>
      <c r="S28" s="39">
        <f t="shared" si="22"/>
        <v>381.87157761754679</v>
      </c>
      <c r="T28" s="36">
        <f t="shared" si="23"/>
        <v>600.20187384020414</v>
      </c>
      <c r="U28" s="36">
        <f t="shared" si="24"/>
        <v>8.7774553145289538</v>
      </c>
      <c r="V28" s="37">
        <f t="shared" si="25"/>
        <v>12.918508788456029</v>
      </c>
      <c r="W28" s="40">
        <f t="shared" si="3"/>
        <v>461.90153316935073</v>
      </c>
      <c r="X28" s="32">
        <f t="shared" si="26"/>
        <v>608.06850833917451</v>
      </c>
      <c r="Y28" s="32">
        <f t="shared" si="27"/>
        <v>11.783228992275987</v>
      </c>
      <c r="Z28" s="33">
        <f t="shared" si="28"/>
        <v>9.7492646445530244</v>
      </c>
      <c r="AA28" s="33">
        <f t="shared" si="29"/>
        <v>9.9349393633177741</v>
      </c>
      <c r="AB28" s="39">
        <f t="shared" si="30"/>
        <v>381.83835401693909</v>
      </c>
      <c r="AC28" s="36">
        <f t="shared" si="31"/>
        <v>612.55741818289607</v>
      </c>
      <c r="AD28" s="36">
        <f t="shared" si="32"/>
        <v>13.325426950778029</v>
      </c>
      <c r="AE28" s="37">
        <f t="shared" si="33"/>
        <v>8.6845903154865205</v>
      </c>
      <c r="AF28" s="40">
        <f t="shared" si="4"/>
        <v>371.08074737810523</v>
      </c>
      <c r="AG28" s="32">
        <f t="shared" si="34"/>
        <v>608.06761782669855</v>
      </c>
      <c r="AH28" s="32">
        <f t="shared" si="35"/>
        <v>11.782618556748034</v>
      </c>
      <c r="AI28" s="33">
        <f t="shared" si="36"/>
        <v>9.749755457324957</v>
      </c>
      <c r="AJ28" s="33">
        <f t="shared" si="37"/>
        <v>9.9350124822587951</v>
      </c>
      <c r="AK28" s="39">
        <f t="shared" si="5"/>
        <v>381.84172346696579</v>
      </c>
      <c r="AL28" s="36">
        <f t="shared" si="38"/>
        <v>607.80370977670054</v>
      </c>
      <c r="AM28" s="36">
        <f t="shared" si="39"/>
        <v>11.586263255289557</v>
      </c>
      <c r="AN28" s="37">
        <f t="shared" si="40"/>
        <v>9.9106837880956569</v>
      </c>
      <c r="AO28" s="40">
        <f t="shared" si="6"/>
        <v>399.51125763083769</v>
      </c>
      <c r="AP28" s="32">
        <f t="shared" si="56"/>
        <v>608.06770811710248</v>
      </c>
      <c r="AQ28" s="32">
        <f t="shared" si="41"/>
        <v>11.7826804643841</v>
      </c>
      <c r="AR28" s="33">
        <f t="shared" si="42"/>
        <v>9.7497056786327274</v>
      </c>
      <c r="AS28" s="33">
        <f t="shared" si="43"/>
        <v>9.9350050672982988</v>
      </c>
      <c r="AT28" s="39">
        <f t="shared" si="7"/>
        <v>381.84138178213249</v>
      </c>
      <c r="AU28" s="36">
        <f t="shared" si="44"/>
        <v>608.62209099703136</v>
      </c>
      <c r="AV28" s="36">
        <f t="shared" si="45"/>
        <v>12.11082409364109</v>
      </c>
      <c r="AW28" s="37">
        <f t="shared" si="46"/>
        <v>9.4941848002408271</v>
      </c>
      <c r="AX28" s="40">
        <f t="shared" si="8"/>
        <v>390.50058325479989</v>
      </c>
      <c r="AY28" s="2">
        <f t="shared" si="57"/>
        <v>10.001350544775219</v>
      </c>
      <c r="AZ28" s="2">
        <f t="shared" si="47"/>
        <v>381.84825922089601</v>
      </c>
      <c r="BA28" s="2">
        <f t="shared" si="48"/>
        <v>405.74853035827346</v>
      </c>
      <c r="BB28" s="44">
        <f t="shared" si="60"/>
        <v>405.74853035827346</v>
      </c>
      <c r="BC28">
        <f t="shared" si="49"/>
        <v>36</v>
      </c>
      <c r="BD28" s="2">
        <f t="shared" si="50"/>
        <v>139.94258655813698</v>
      </c>
      <c r="BE28" s="2">
        <f t="shared" si="51"/>
        <v>324.59882428661876</v>
      </c>
      <c r="BF28" s="2">
        <f t="shared" si="9"/>
        <v>88.50148697652007</v>
      </c>
      <c r="BG28" s="24">
        <f t="shared" si="10"/>
        <v>0.63241282838339918</v>
      </c>
      <c r="BH28">
        <v>100</v>
      </c>
      <c r="BI28">
        <v>192</v>
      </c>
    </row>
    <row r="29" spans="1:61" x14ac:dyDescent="0.25">
      <c r="A29">
        <f t="shared" si="11"/>
        <v>42</v>
      </c>
      <c r="B29">
        <v>0.7</v>
      </c>
      <c r="C29" s="2">
        <f t="shared" si="58"/>
        <v>405.74853035827346</v>
      </c>
      <c r="D29" s="2">
        <f t="shared" si="12"/>
        <v>12.228327510862712</v>
      </c>
      <c r="E29" s="2">
        <f t="shared" si="13"/>
        <v>608.86251143862478</v>
      </c>
      <c r="F29" s="25">
        <f t="shared" si="14"/>
        <v>11.464392613462906</v>
      </c>
      <c r="G29">
        <f t="shared" si="15"/>
        <v>8.6352077408354753E-5</v>
      </c>
      <c r="H29">
        <f t="shared" si="16"/>
        <v>2.5247658388977118E-4</v>
      </c>
      <c r="I29" s="51">
        <f t="shared" si="59"/>
        <v>1.3195331809626626E-4</v>
      </c>
      <c r="J29" s="28">
        <f t="shared" si="52"/>
        <v>0.22615741429374653</v>
      </c>
      <c r="K29" s="24">
        <f t="shared" si="53"/>
        <v>10.347919616102738</v>
      </c>
      <c r="L29" s="33">
        <f t="shared" si="54"/>
        <v>10.011695886520258</v>
      </c>
      <c r="M29" s="39">
        <f t="shared" si="55"/>
        <v>388.02916244289196</v>
      </c>
      <c r="N29" s="40">
        <f t="shared" si="17"/>
        <v>205.74389747099335</v>
      </c>
      <c r="O29" s="32">
        <f t="shared" si="18"/>
        <v>608.24268269495269</v>
      </c>
      <c r="P29" s="32">
        <f t="shared" si="19"/>
        <v>11.896792641337882</v>
      </c>
      <c r="Q29" s="33">
        <f t="shared" si="20"/>
        <v>10.625463274784584</v>
      </c>
      <c r="R29" s="33">
        <f t="shared" si="21"/>
        <v>10.039963347250801</v>
      </c>
      <c r="S29" s="39">
        <f t="shared" si="22"/>
        <v>389.52127792960562</v>
      </c>
      <c r="T29" s="36">
        <f t="shared" si="23"/>
        <v>601.10730662664935</v>
      </c>
      <c r="U29" s="36">
        <f t="shared" si="24"/>
        <v>8.8945072482465672</v>
      </c>
      <c r="V29" s="37">
        <f t="shared" si="25"/>
        <v>14.045298941059254</v>
      </c>
      <c r="W29" s="40">
        <f t="shared" si="3"/>
        <v>485.58264494554311</v>
      </c>
      <c r="X29" s="32">
        <f t="shared" si="26"/>
        <v>608.28777226353873</v>
      </c>
      <c r="Y29" s="32">
        <f t="shared" si="27"/>
        <v>11.924439400019754</v>
      </c>
      <c r="Z29" s="33">
        <f t="shared" si="28"/>
        <v>10.601614035138406</v>
      </c>
      <c r="AA29" s="33">
        <f t="shared" si="29"/>
        <v>10.037689222517113</v>
      </c>
      <c r="AB29" s="39">
        <f t="shared" si="30"/>
        <v>389.40418164983777</v>
      </c>
      <c r="AC29" s="36">
        <f t="shared" si="31"/>
        <v>615.219792043589</v>
      </c>
      <c r="AD29" s="36">
        <f t="shared" si="32"/>
        <v>13.8092752301751</v>
      </c>
      <c r="AE29" s="37">
        <f t="shared" si="33"/>
        <v>9.2589190392468517</v>
      </c>
      <c r="AF29" s="40">
        <f t="shared" si="4"/>
        <v>385.21173994501663</v>
      </c>
      <c r="AG29" s="32">
        <f t="shared" si="34"/>
        <v>608.28419103675083</v>
      </c>
      <c r="AH29" s="32">
        <f t="shared" si="35"/>
        <v>11.922267970688862</v>
      </c>
      <c r="AI29" s="33">
        <f t="shared" si="36"/>
        <v>10.603482503619601</v>
      </c>
      <c r="AJ29" s="33">
        <f t="shared" si="37"/>
        <v>10.037868384878227</v>
      </c>
      <c r="AK29" s="39">
        <f t="shared" si="5"/>
        <v>389.41342473969434</v>
      </c>
      <c r="AL29" s="36">
        <f t="shared" si="38"/>
        <v>608.16068077569628</v>
      </c>
      <c r="AM29" s="36">
        <f t="shared" si="39"/>
        <v>11.844725833684496</v>
      </c>
      <c r="AN29" s="37">
        <f t="shared" si="40"/>
        <v>10.670731674423438</v>
      </c>
      <c r="AO29" s="40">
        <f t="shared" si="6"/>
        <v>418.33907422015528</v>
      </c>
      <c r="AP29" s="32">
        <f t="shared" si="56"/>
        <v>608.28447345676489</v>
      </c>
      <c r="AQ29" s="32">
        <f t="shared" si="41"/>
        <v>11.922439363059773</v>
      </c>
      <c r="AR29" s="33">
        <f t="shared" si="42"/>
        <v>10.603334995077399</v>
      </c>
      <c r="AS29" s="33">
        <f t="shared" si="43"/>
        <v>10.037854246871653</v>
      </c>
      <c r="AT29" s="39">
        <f t="shared" si="7"/>
        <v>389.4126954634699</v>
      </c>
      <c r="AU29" s="36">
        <f t="shared" si="44"/>
        <v>609.43372048558649</v>
      </c>
      <c r="AV29" s="36">
        <f t="shared" si="45"/>
        <v>12.468174616258944</v>
      </c>
      <c r="AW29" s="37">
        <f t="shared" si="46"/>
        <v>10.158380547535065</v>
      </c>
      <c r="AX29" s="40">
        <f t="shared" si="8"/>
        <v>407.31971230985198</v>
      </c>
      <c r="AY29" s="2">
        <f t="shared" si="57"/>
        <v>10.820903126360573</v>
      </c>
      <c r="AZ29" s="2">
        <f t="shared" si="47"/>
        <v>389.43789494565192</v>
      </c>
      <c r="BA29" s="2">
        <f t="shared" si="48"/>
        <v>424.11329285514176</v>
      </c>
      <c r="BB29" s="44">
        <f t="shared" si="60"/>
        <v>424.11329285514176</v>
      </c>
      <c r="BC29">
        <f t="shared" si="49"/>
        <v>42</v>
      </c>
      <c r="BD29" s="2">
        <f t="shared" si="50"/>
        <v>131.95331809626626</v>
      </c>
      <c r="BE29" s="2">
        <f t="shared" si="51"/>
        <v>339.29063428411342</v>
      </c>
      <c r="BF29" s="2">
        <f t="shared" si="9"/>
        <v>80.226631289885361</v>
      </c>
      <c r="BG29" s="24">
        <f t="shared" si="10"/>
        <v>0.60799252680676208</v>
      </c>
    </row>
    <row r="30" spans="1:61" x14ac:dyDescent="0.25">
      <c r="A30">
        <f t="shared" si="11"/>
        <v>48</v>
      </c>
      <c r="B30">
        <v>0.8</v>
      </c>
      <c r="C30" s="2">
        <f t="shared" si="58"/>
        <v>424.11329285514176</v>
      </c>
      <c r="D30" s="2">
        <f t="shared" si="12"/>
        <v>12.579359889813523</v>
      </c>
      <c r="E30" s="2">
        <f t="shared" si="13"/>
        <v>609.73857175395256</v>
      </c>
      <c r="F30" s="25">
        <f t="shared" si="14"/>
        <v>12.754867506718673</v>
      </c>
      <c r="G30">
        <f t="shared" si="15"/>
        <v>8.1867275874199238E-5</v>
      </c>
      <c r="H30">
        <f t="shared" si="16"/>
        <v>2.393639014303491E-4</v>
      </c>
      <c r="I30" s="51">
        <f t="shared" si="59"/>
        <v>1.2539697686655521E-4</v>
      </c>
      <c r="J30" s="28">
        <f t="shared" si="52"/>
        <v>0.21671095686312578</v>
      </c>
      <c r="K30" s="24">
        <f t="shared" si="53"/>
        <v>10.940689641118015</v>
      </c>
      <c r="L30" s="33">
        <f t="shared" si="54"/>
        <v>10.067619153496167</v>
      </c>
      <c r="M30" s="39">
        <f t="shared" si="55"/>
        <v>392.88219707232878</v>
      </c>
      <c r="N30" s="40">
        <f t="shared" si="17"/>
        <v>213.0108094703983</v>
      </c>
      <c r="O30" s="32">
        <f t="shared" si="18"/>
        <v>608.39376173316464</v>
      </c>
      <c r="P30" s="32">
        <f t="shared" si="19"/>
        <v>11.986895087945728</v>
      </c>
      <c r="Q30" s="33">
        <f t="shared" si="20"/>
        <v>11.456121725512848</v>
      </c>
      <c r="R30" s="33">
        <f t="shared" si="21"/>
        <v>10.105144702223381</v>
      </c>
      <c r="S30" s="39">
        <f t="shared" si="22"/>
        <v>395.21828126254843</v>
      </c>
      <c r="T30" s="36">
        <f t="shared" si="23"/>
        <v>601.83741594252535</v>
      </c>
      <c r="U30" s="36">
        <f t="shared" si="24"/>
        <v>8.999950524453137</v>
      </c>
      <c r="V30" s="37">
        <f t="shared" si="25"/>
        <v>15.093801479772495</v>
      </c>
      <c r="W30" s="40">
        <f t="shared" si="3"/>
        <v>506.95929604762853</v>
      </c>
      <c r="X30" s="32">
        <f t="shared" si="26"/>
        <v>608.47120826725529</v>
      </c>
      <c r="Y30" s="32">
        <f t="shared" si="27"/>
        <v>12.030455408252402</v>
      </c>
      <c r="Z30" s="33">
        <f t="shared" si="28"/>
        <v>11.416094020388194</v>
      </c>
      <c r="AA30" s="33">
        <f t="shared" si="29"/>
        <v>10.10249324169067</v>
      </c>
      <c r="AB30" s="39">
        <f t="shared" si="30"/>
        <v>395.06429065708284</v>
      </c>
      <c r="AC30" s="36">
        <f t="shared" si="31"/>
        <v>618.35230955912618</v>
      </c>
      <c r="AD30" s="36">
        <f t="shared" si="32"/>
        <v>14.256826839097712</v>
      </c>
      <c r="AE30" s="37">
        <f t="shared" si="33"/>
        <v>9.7897744033856355</v>
      </c>
      <c r="AF30" s="40">
        <f t="shared" si="4"/>
        <v>397.3775365445145</v>
      </c>
      <c r="AG30" s="32">
        <f t="shared" si="34"/>
        <v>608.4660046008961</v>
      </c>
      <c r="AH30" s="32">
        <f t="shared" si="35"/>
        <v>12.027580224279255</v>
      </c>
      <c r="AI30" s="33">
        <f t="shared" si="36"/>
        <v>11.418725374885033</v>
      </c>
      <c r="AJ30" s="33">
        <f t="shared" si="37"/>
        <v>10.102668654928426</v>
      </c>
      <c r="AK30" s="39">
        <f t="shared" si="5"/>
        <v>395.07452899174154</v>
      </c>
      <c r="AL30" s="36">
        <f t="shared" si="38"/>
        <v>608.54567699941595</v>
      </c>
      <c r="AM30" s="36">
        <f t="shared" si="39"/>
        <v>12.070827162229227</v>
      </c>
      <c r="AN30" s="37">
        <f t="shared" si="40"/>
        <v>11.379304572887385</v>
      </c>
      <c r="AO30" s="40">
        <f t="shared" si="6"/>
        <v>435.32903846828992</v>
      </c>
      <c r="AP30" s="32">
        <f t="shared" si="56"/>
        <v>608.46635013869081</v>
      </c>
      <c r="AQ30" s="32">
        <f t="shared" si="41"/>
        <v>12.027771369429022</v>
      </c>
      <c r="AR30" s="33">
        <f t="shared" si="42"/>
        <v>11.418550393086944</v>
      </c>
      <c r="AS30" s="33">
        <f t="shared" si="43"/>
        <v>10.102656995102876</v>
      </c>
      <c r="AT30" s="39">
        <f t="shared" si="7"/>
        <v>395.07384866718775</v>
      </c>
      <c r="AU30" s="36">
        <f t="shared" si="44"/>
        <v>610.41741351458882</v>
      </c>
      <c r="AV30" s="36">
        <f t="shared" si="45"/>
        <v>12.797458521176338</v>
      </c>
      <c r="AW30" s="37">
        <f t="shared" si="46"/>
        <v>10.766207734026846</v>
      </c>
      <c r="AX30" s="40">
        <f t="shared" si="8"/>
        <v>422.1408902177277</v>
      </c>
      <c r="AY30" s="2">
        <f t="shared" si="57"/>
        <v>11.592322462993172</v>
      </c>
      <c r="AZ30" s="2">
        <f t="shared" si="47"/>
        <v>395.10773739464014</v>
      </c>
      <c r="BA30" s="2">
        <f t="shared" si="48"/>
        <v>440.45169031954015</v>
      </c>
      <c r="BB30" s="44">
        <f t="shared" si="60"/>
        <v>440.45169031954015</v>
      </c>
      <c r="BC30">
        <f t="shared" si="49"/>
        <v>48</v>
      </c>
      <c r="BD30" s="2">
        <f t="shared" si="50"/>
        <v>125.39697686655521</v>
      </c>
      <c r="BE30" s="2">
        <f t="shared" si="51"/>
        <v>352.36135225563214</v>
      </c>
      <c r="BF30" s="2">
        <f t="shared" si="9"/>
        <v>73.660020503561213</v>
      </c>
      <c r="BG30" s="24">
        <f t="shared" si="10"/>
        <v>0.58741464383107611</v>
      </c>
    </row>
    <row r="31" spans="1:61" x14ac:dyDescent="0.25">
      <c r="A31">
        <f t="shared" si="11"/>
        <v>54</v>
      </c>
      <c r="B31">
        <v>0.9</v>
      </c>
      <c r="C31" s="2">
        <f t="shared" si="58"/>
        <v>440.45169031954015</v>
      </c>
      <c r="D31" s="2">
        <f t="shared" si="12"/>
        <v>12.898009743797694</v>
      </c>
      <c r="E31" s="2">
        <f t="shared" si="13"/>
        <v>610.76871293964859</v>
      </c>
      <c r="F31" s="25">
        <f t="shared" si="14"/>
        <v>14.018367092442608</v>
      </c>
      <c r="G31">
        <f t="shared" si="15"/>
        <v>7.8090751297903982E-5</v>
      </c>
      <c r="H31">
        <f t="shared" si="16"/>
        <v>2.2832208225685298E-4</v>
      </c>
      <c r="I31" s="51">
        <f t="shared" si="59"/>
        <v>1.1987606727980716E-4</v>
      </c>
      <c r="J31" s="28">
        <f t="shared" si="52"/>
        <v>0.20867589219133853</v>
      </c>
      <c r="K31" s="24">
        <f t="shared" si="53"/>
        <v>11.49506934617753</v>
      </c>
      <c r="L31" s="33">
        <f t="shared" si="54"/>
        <v>10.107691137917115</v>
      </c>
      <c r="M31" s="39">
        <f t="shared" si="55"/>
        <v>396.6435626356128</v>
      </c>
      <c r="N31" s="40">
        <f t="shared" si="17"/>
        <v>219.55734350719541</v>
      </c>
      <c r="O31" s="32">
        <f t="shared" si="18"/>
        <v>608.52004599189195</v>
      </c>
      <c r="P31" s="32">
        <f t="shared" si="19"/>
        <v>12.057092281820758</v>
      </c>
      <c r="Q31" s="33">
        <f t="shared" si="20"/>
        <v>12.251515642868133</v>
      </c>
      <c r="R31" s="33">
        <f t="shared" si="21"/>
        <v>10.153248494719897</v>
      </c>
      <c r="S31" s="39">
        <f t="shared" si="22"/>
        <v>399.90363845502299</v>
      </c>
      <c r="T31" s="36">
        <f t="shared" si="23"/>
        <v>602.43741017122466</v>
      </c>
      <c r="U31" s="36">
        <f t="shared" si="24"/>
        <v>9.0959538966255487</v>
      </c>
      <c r="V31" s="37">
        <f t="shared" si="25"/>
        <v>16.077599158589521</v>
      </c>
      <c r="W31" s="40">
        <f t="shared" si="3"/>
        <v>526.49907533659211</v>
      </c>
      <c r="X31" s="32">
        <f t="shared" si="26"/>
        <v>608.6364568835611</v>
      </c>
      <c r="Y31" s="32">
        <f t="shared" si="27"/>
        <v>12.118190434183463</v>
      </c>
      <c r="Z31" s="33">
        <f t="shared" si="28"/>
        <v>12.192077202651063</v>
      </c>
      <c r="AA31" s="33">
        <f t="shared" si="29"/>
        <v>10.149776635120496</v>
      </c>
      <c r="AB31" s="39">
        <f t="shared" si="30"/>
        <v>399.69043168705696</v>
      </c>
      <c r="AC31" s="36">
        <f t="shared" si="31"/>
        <v>621.90926594629207</v>
      </c>
      <c r="AD31" s="36">
        <f t="shared" si="32"/>
        <v>14.674875214704544</v>
      </c>
      <c r="AE31" s="37">
        <f t="shared" si="33"/>
        <v>10.287506553167562</v>
      </c>
      <c r="AF31" s="40">
        <f t="shared" si="4"/>
        <v>407.96882924573111</v>
      </c>
      <c r="AG31" s="32">
        <f t="shared" si="34"/>
        <v>608.62863869343164</v>
      </c>
      <c r="AH31" s="32">
        <f t="shared" si="35"/>
        <v>12.114187380407383</v>
      </c>
      <c r="AI31" s="33">
        <f t="shared" si="36"/>
        <v>12.195949330520003</v>
      </c>
      <c r="AJ31" s="33">
        <f t="shared" si="37"/>
        <v>10.150002575430406</v>
      </c>
      <c r="AK31" s="39">
        <f t="shared" si="5"/>
        <v>399.70446341463912</v>
      </c>
      <c r="AL31" s="36">
        <f t="shared" si="38"/>
        <v>608.95456596321856</v>
      </c>
      <c r="AM31" s="36">
        <f t="shared" si="39"/>
        <v>12.270365838317765</v>
      </c>
      <c r="AN31" s="37">
        <f t="shared" si="40"/>
        <v>12.047165989206162</v>
      </c>
      <c r="AO31" s="40">
        <f t="shared" si="6"/>
        <v>450.87536114979082</v>
      </c>
      <c r="AP31" s="32">
        <f t="shared" si="56"/>
        <v>608.62915233360218</v>
      </c>
      <c r="AQ31" s="32">
        <f t="shared" si="41"/>
        <v>12.114450801155904</v>
      </c>
      <c r="AR31" s="33">
        <f t="shared" si="42"/>
        <v>12.195694429947466</v>
      </c>
      <c r="AS31" s="33">
        <f t="shared" si="43"/>
        <v>10.149987701139334</v>
      </c>
      <c r="AT31" s="39">
        <f t="shared" si="7"/>
        <v>399.70354034698005</v>
      </c>
      <c r="AU31" s="36">
        <f t="shared" si="44"/>
        <v>611.570820852824</v>
      </c>
      <c r="AV31" s="36">
        <f t="shared" si="45"/>
        <v>13.104428268960834</v>
      </c>
      <c r="AW31" s="37">
        <f t="shared" si="46"/>
        <v>11.328859551023024</v>
      </c>
      <c r="AX31" s="40">
        <f t="shared" si="8"/>
        <v>435.3567549797059</v>
      </c>
      <c r="AY31" s="2">
        <f t="shared" si="57"/>
        <v>12.322045982246616</v>
      </c>
      <c r="AZ31" s="2">
        <f t="shared" si="47"/>
        <v>399.75051847592476</v>
      </c>
      <c r="BA31" s="2">
        <f t="shared" si="48"/>
        <v>455.17500517795497</v>
      </c>
      <c r="BB31" s="44">
        <f t="shared" si="60"/>
        <v>455.17500517795497</v>
      </c>
      <c r="BC31">
        <f t="shared" si="49"/>
        <v>54</v>
      </c>
      <c r="BD31" s="2">
        <f t="shared" si="50"/>
        <v>119.87606727980716</v>
      </c>
      <c r="BE31" s="2">
        <f t="shared" si="51"/>
        <v>364.14000414236398</v>
      </c>
      <c r="BF31" s="2">
        <f t="shared" si="9"/>
        <v>68.300057595186999</v>
      </c>
      <c r="BG31" s="24">
        <f t="shared" si="10"/>
        <v>0.56975557461161375</v>
      </c>
    </row>
    <row r="32" spans="1:61" x14ac:dyDescent="0.25">
      <c r="A32" s="20">
        <f t="shared" si="11"/>
        <v>60</v>
      </c>
      <c r="B32" s="20">
        <v>1</v>
      </c>
      <c r="C32" s="27">
        <f>BB31</f>
        <v>455.17500517795497</v>
      </c>
      <c r="D32" s="2">
        <f>((1.12*10^-5)*(C32^2))+(0.00982*C32)+6.4</f>
        <v>13.190282546641534</v>
      </c>
      <c r="E32" s="2">
        <f>((1.71*10^-6)*(C32^3))-(0.00173*(C32^2))+(0.6*C32)+536</f>
        <v>611.93792441040864</v>
      </c>
      <c r="F32" s="25">
        <f>B32*$E$10*4500*E32/(4*D32)</f>
        <v>15.259985056442543</v>
      </c>
      <c r="G32">
        <f>SQRT($E$10^2/F32)</f>
        <v>7.4846459444242235E-5</v>
      </c>
      <c r="H32">
        <f>G32/SIN($E$4)</f>
        <v>2.1883640745970351E-4</v>
      </c>
      <c r="I32" s="51">
        <f t="shared" si="59"/>
        <v>1.1513322988123243E-4</v>
      </c>
      <c r="J32" s="28">
        <f t="shared" si="52"/>
        <v>0.20171101143010625</v>
      </c>
      <c r="K32" s="24">
        <f t="shared" si="53"/>
        <v>12.018118362429243</v>
      </c>
      <c r="L32" s="33">
        <f t="shared" si="54"/>
        <v>10.139621743650661</v>
      </c>
      <c r="M32" s="39">
        <f t="shared" si="55"/>
        <v>399.69502350618103</v>
      </c>
      <c r="N32" s="40">
        <f t="shared" si="17"/>
        <v>225.51163179577247</v>
      </c>
      <c r="O32" s="32">
        <f t="shared" si="18"/>
        <v>608.62880676595455</v>
      </c>
      <c r="P32" s="32">
        <f t="shared" si="19"/>
        <v>12.114273583165492</v>
      </c>
      <c r="Q32" s="33">
        <f t="shared" si="20"/>
        <v>13.014825003042615</v>
      </c>
      <c r="R32" s="33">
        <f t="shared" si="21"/>
        <v>10.201229110266702</v>
      </c>
      <c r="S32" s="39">
        <f t="shared" si="22"/>
        <v>404.30987953968582</v>
      </c>
      <c r="T32" s="36">
        <f t="shared" si="23"/>
        <v>602.93811596612829</v>
      </c>
      <c r="U32" s="36">
        <f t="shared" si="24"/>
        <v>9.1841057802766386</v>
      </c>
      <c r="V32" s="37">
        <f t="shared" si="25"/>
        <v>17.006661544798487</v>
      </c>
      <c r="W32" s="40">
        <f t="shared" si="3"/>
        <v>544.5338331747339</v>
      </c>
      <c r="X32" s="32">
        <f t="shared" si="26"/>
        <v>608.8047216331463</v>
      </c>
      <c r="Y32" s="32">
        <f t="shared" si="27"/>
        <v>12.201147578445742</v>
      </c>
      <c r="Z32" s="33">
        <f t="shared" si="28"/>
        <v>12.925892455221812</v>
      </c>
      <c r="AA32" s="33">
        <f t="shared" si="29"/>
        <v>10.19508278462914</v>
      </c>
      <c r="AB32" s="39">
        <f t="shared" si="30"/>
        <v>403.94952402001002</v>
      </c>
      <c r="AC32" s="36">
        <f t="shared" si="31"/>
        <v>625.84846466294857</v>
      </c>
      <c r="AD32" s="36">
        <f t="shared" si="32"/>
        <v>15.06831371106194</v>
      </c>
      <c r="AE32" s="37">
        <f t="shared" si="33"/>
        <v>10.759392338301625</v>
      </c>
      <c r="AF32" s="40">
        <f t="shared" si="4"/>
        <v>417.26576573856681</v>
      </c>
      <c r="AG32" s="32">
        <f t="shared" si="34"/>
        <v>608.79047062720451</v>
      </c>
      <c r="AH32" s="32">
        <f t="shared" si="35"/>
        <v>12.194346766983617</v>
      </c>
      <c r="AI32" s="33">
        <f t="shared" si="36"/>
        <v>12.93279851090522</v>
      </c>
      <c r="AJ32" s="33">
        <f t="shared" si="37"/>
        <v>10.195552790586252</v>
      </c>
      <c r="AK32" s="39">
        <f t="shared" si="5"/>
        <v>403.97760297133448</v>
      </c>
      <c r="AL32" s="36">
        <f t="shared" si="38"/>
        <v>609.38017196398187</v>
      </c>
      <c r="AM32" s="36">
        <f t="shared" si="39"/>
        <v>12.447589875235522</v>
      </c>
      <c r="AN32" s="37">
        <f t="shared" si="40"/>
        <v>12.68195636952971</v>
      </c>
      <c r="AO32" s="40">
        <f t="shared" si="6"/>
        <v>465.25696375926435</v>
      </c>
      <c r="AP32" s="32">
        <f t="shared" si="56"/>
        <v>608.79157786804922</v>
      </c>
      <c r="AQ32" s="32">
        <f t="shared" si="41"/>
        <v>12.194876582646115</v>
      </c>
      <c r="AR32" s="33">
        <f>($B32*$I32*4500*AP32)/(2*AQ32)</f>
        <v>12.932260156237717</v>
      </c>
      <c r="AS32" s="33">
        <f t="shared" si="43"/>
        <v>10.19551610913642</v>
      </c>
      <c r="AT32" s="39">
        <f t="shared" si="7"/>
        <v>403.97541481267962</v>
      </c>
      <c r="AU32" s="36">
        <f t="shared" si="44"/>
        <v>612.8878843246855</v>
      </c>
      <c r="AV32" s="36">
        <f t="shared" si="45"/>
        <v>13.393220658172659</v>
      </c>
      <c r="AW32" s="37">
        <f t="shared" si="46"/>
        <v>11.854390204287016</v>
      </c>
      <c r="AX32" s="40">
        <f t="shared" si="8"/>
        <v>447.24618722793389</v>
      </c>
      <c r="AY32" s="27">
        <f>AVERAGE(AW32,AR32,AN32,AI32,AE32,Z32,V32,Q32)</f>
        <v>13.013522072790526</v>
      </c>
      <c r="AZ32" s="27">
        <f t="shared" si="47"/>
        <v>404.05310533592751</v>
      </c>
      <c r="BA32" s="27">
        <f t="shared" si="48"/>
        <v>468.57568747512477</v>
      </c>
      <c r="BB32" s="49">
        <f t="shared" si="60"/>
        <v>468.57568747512477</v>
      </c>
      <c r="BC32" s="20">
        <f t="shared" si="49"/>
        <v>60</v>
      </c>
      <c r="BD32" s="27">
        <f t="shared" si="50"/>
        <v>115.13322988123242</v>
      </c>
      <c r="BE32" s="27">
        <f t="shared" si="51"/>
        <v>374.86054998009985</v>
      </c>
      <c r="BF32" s="27">
        <f t="shared" si="9"/>
        <v>63.831236503525702</v>
      </c>
      <c r="BG32" s="54">
        <f>BF32/BD32</f>
        <v>0.55441193276147871</v>
      </c>
    </row>
    <row r="33" spans="1:59" x14ac:dyDescent="0.25">
      <c r="A33">
        <f t="shared" si="11"/>
        <v>66</v>
      </c>
      <c r="B33">
        <v>1.1000000000000001</v>
      </c>
      <c r="C33" s="2">
        <f t="shared" si="58"/>
        <v>468.57568747512477</v>
      </c>
      <c r="D33" s="2">
        <f t="shared" si="12"/>
        <v>13.460520809804926</v>
      </c>
      <c r="E33" s="2">
        <f>((1.71*10^-6)*(C33^3))-(0.00173*(C33^2))+(0.6*C33)+536</f>
        <v>613.22928113008538</v>
      </c>
      <c r="F33" s="25">
        <f t="shared" si="14"/>
        <v>16.483693971180241</v>
      </c>
      <c r="G33">
        <f>SQRT($E$10^2/F33)</f>
        <v>7.201468142995049E-5</v>
      </c>
      <c r="H33">
        <f t="shared" si="16"/>
        <v>2.1055684244123223E-4</v>
      </c>
      <c r="I33" s="51">
        <f t="shared" si="59"/>
        <v>1.1099344737199679E-4</v>
      </c>
      <c r="J33" s="28">
        <f t="shared" si="52"/>
        <v>0.1955822478318214</v>
      </c>
      <c r="K33" s="24">
        <f t="shared" si="53"/>
        <v>12.515078089247297</v>
      </c>
      <c r="L33" s="33">
        <f t="shared" si="54"/>
        <v>10.168879444160073</v>
      </c>
      <c r="M33" s="39">
        <f t="shared" si="55"/>
        <v>402.31640774127936</v>
      </c>
      <c r="N33" s="40">
        <f t="shared" si="17"/>
        <v>230.96977441431903</v>
      </c>
      <c r="O33" s="32">
        <f t="shared" si="18"/>
        <v>608.72699282873464</v>
      </c>
      <c r="P33" s="32">
        <f t="shared" si="19"/>
        <v>12.163562233723255</v>
      </c>
      <c r="Q33" s="33">
        <f t="shared" si="20"/>
        <v>13.747835355044435</v>
      </c>
      <c r="R33" s="33">
        <f t="shared" si="21"/>
        <v>10.262227056190966</v>
      </c>
      <c r="S33" s="39">
        <f t="shared" si="22"/>
        <v>409.01250792592799</v>
      </c>
      <c r="T33" s="36">
        <f t="shared" si="23"/>
        <v>603.36134685211891</v>
      </c>
      <c r="U33" s="36">
        <f t="shared" si="24"/>
        <v>9.2656099957102285</v>
      </c>
      <c r="V33" s="37">
        <f t="shared" si="25"/>
        <v>17.888585956521389</v>
      </c>
      <c r="W33" s="40">
        <f t="shared" si="3"/>
        <v>561.30869447659575</v>
      </c>
      <c r="X33" s="32">
        <f t="shared" si="26"/>
        <v>608.99906663263414</v>
      </c>
      <c r="Y33" s="32">
        <f t="shared" si="27"/>
        <v>12.290164622199015</v>
      </c>
      <c r="Z33" s="33">
        <f t="shared" si="28"/>
        <v>13.612298706010364</v>
      </c>
      <c r="AA33" s="33">
        <f t="shared" si="29"/>
        <v>10.249265848830682</v>
      </c>
      <c r="AB33" s="39">
        <f t="shared" si="30"/>
        <v>408.31342666454304</v>
      </c>
      <c r="AC33" s="36">
        <f t="shared" si="31"/>
        <v>630.13219714869638</v>
      </c>
      <c r="AD33" s="36">
        <f t="shared" si="32"/>
        <v>15.440806825304399</v>
      </c>
      <c r="AE33" s="37">
        <f t="shared" si="33"/>
        <v>11.210738563793164</v>
      </c>
      <c r="AF33" s="40">
        <f t="shared" si="4"/>
        <v>425.47758877939765</v>
      </c>
      <c r="AG33" s="32">
        <f t="shared" si="34"/>
        <v>608.96917101602094</v>
      </c>
      <c r="AH33" s="32">
        <f t="shared" si="35"/>
        <v>12.276900219064675</v>
      </c>
      <c r="AI33" s="33">
        <f t="shared" si="36"/>
        <v>13.626336975126508</v>
      </c>
      <c r="AJ33" s="33">
        <f t="shared" si="37"/>
        <v>10.250567378853347</v>
      </c>
      <c r="AK33" s="39">
        <f t="shared" si="5"/>
        <v>408.38532495726207</v>
      </c>
      <c r="AL33" s="36">
        <f t="shared" si="38"/>
        <v>609.81486734972248</v>
      </c>
      <c r="AM33" s="36">
        <f t="shared" si="39"/>
        <v>12.605739121613224</v>
      </c>
      <c r="AN33" s="37">
        <f t="shared" si="40"/>
        <v>13.289304021668654</v>
      </c>
      <c r="AO33" s="40">
        <f t="shared" si="6"/>
        <v>478.67898113670788</v>
      </c>
      <c r="AP33" s="32">
        <f t="shared" si="56"/>
        <v>608.97222918280943</v>
      </c>
      <c r="AQ33" s="32">
        <f t="shared" si="41"/>
        <v>12.278263915853339</v>
      </c>
      <c r="AR33" s="33">
        <f t="shared" si="42"/>
        <v>13.624891975505923</v>
      </c>
      <c r="AS33" s="33">
        <f t="shared" si="43"/>
        <v>10.250432983685144</v>
      </c>
      <c r="AT33" s="39">
        <f t="shared" si="7"/>
        <v>408.37791979540458</v>
      </c>
      <c r="AU33" s="36">
        <f t="shared" si="44"/>
        <v>614.36155008514413</v>
      </c>
      <c r="AV33" s="36">
        <f t="shared" si="45"/>
        <v>13.666923544961733</v>
      </c>
      <c r="AW33" s="37">
        <f t="shared" si="46"/>
        <v>12.3488298392276</v>
      </c>
      <c r="AX33" s="40">
        <f t="shared" si="8"/>
        <v>458.0154451182662</v>
      </c>
      <c r="AY33" s="2">
        <f t="shared" si="57"/>
        <v>13.668602674112254</v>
      </c>
      <c r="AZ33" s="2">
        <f t="shared" si="47"/>
        <v>408.52229483578441</v>
      </c>
      <c r="BA33" s="2">
        <f t="shared" si="48"/>
        <v>480.87017737774187</v>
      </c>
      <c r="BB33" s="44">
        <f t="shared" si="60"/>
        <v>480.87017737774187</v>
      </c>
      <c r="BC33">
        <f t="shared" si="49"/>
        <v>66</v>
      </c>
      <c r="BD33" s="2">
        <f t="shared" si="50"/>
        <v>110.99344737199679</v>
      </c>
      <c r="BE33" s="2">
        <f t="shared" si="51"/>
        <v>384.69614190219352</v>
      </c>
      <c r="BF33" s="2">
        <f t="shared" si="9"/>
        <v>60.043399989592388</v>
      </c>
      <c r="BG33" s="24">
        <f t="shared" ref="BG33:BG72" si="61">BF33/BD33</f>
        <v>0.54096346596349709</v>
      </c>
    </row>
    <row r="34" spans="1:59" x14ac:dyDescent="0.25">
      <c r="A34">
        <f t="shared" si="11"/>
        <v>72</v>
      </c>
      <c r="B34">
        <v>1.2</v>
      </c>
      <c r="C34" s="2">
        <f t="shared" si="58"/>
        <v>480.87017737774187</v>
      </c>
      <c r="D34" s="2">
        <f t="shared" si="12"/>
        <v>13.711989769751996</v>
      </c>
      <c r="E34" s="2">
        <f t="shared" si="13"/>
        <v>614.62629943602622</v>
      </c>
      <c r="F34" s="25">
        <f t="shared" si="14"/>
        <v>17.692644153368125</v>
      </c>
      <c r="G34">
        <f t="shared" si="15"/>
        <v>6.9510745122976778E-5</v>
      </c>
      <c r="H34">
        <f t="shared" si="16"/>
        <v>2.0323582244917437E-4</v>
      </c>
      <c r="I34" s="51">
        <f t="shared" si="59"/>
        <v>1.0733293737596786E-4</v>
      </c>
      <c r="J34" s="28">
        <f t="shared" si="52"/>
        <v>0.19012277881656436</v>
      </c>
      <c r="K34" s="24">
        <f t="shared" si="53"/>
        <v>12.989948758698221</v>
      </c>
      <c r="L34" s="33">
        <f t="shared" si="54"/>
        <v>10.199488880295412</v>
      </c>
      <c r="M34" s="39">
        <f t="shared" si="55"/>
        <v>404.71923461937246</v>
      </c>
      <c r="N34" s="40">
        <f t="shared" si="17"/>
        <v>236.0059093053807</v>
      </c>
      <c r="O34" s="32">
        <f t="shared" si="18"/>
        <v>608.82101887843169</v>
      </c>
      <c r="P34" s="32">
        <f t="shared" si="19"/>
        <v>12.208876663316214</v>
      </c>
      <c r="Q34" s="33">
        <f t="shared" si="20"/>
        <v>14.451426224965685</v>
      </c>
      <c r="R34" s="33">
        <f t="shared" si="21"/>
        <v>10.346246701036492</v>
      </c>
      <c r="S34" s="39">
        <f t="shared" si="22"/>
        <v>414.45727564473702</v>
      </c>
      <c r="T34" s="36">
        <f t="shared" si="23"/>
        <v>603.72300643226231</v>
      </c>
      <c r="U34" s="36">
        <f t="shared" si="24"/>
        <v>9.3414044687219064</v>
      </c>
      <c r="V34" s="37">
        <f t="shared" si="25"/>
        <v>18.729333733352998</v>
      </c>
      <c r="W34" s="40">
        <f t="shared" si="3"/>
        <v>577.01052043351217</v>
      </c>
      <c r="X34" s="32">
        <f t="shared" si="26"/>
        <v>609.244497074121</v>
      </c>
      <c r="Y34" s="32">
        <f t="shared" si="27"/>
        <v>12.393848580181723</v>
      </c>
      <c r="Z34" s="33">
        <f t="shared" si="28"/>
        <v>14.245647974134545</v>
      </c>
      <c r="AA34" s="33">
        <f t="shared" si="29"/>
        <v>10.318427844878265</v>
      </c>
      <c r="AB34" s="39">
        <f t="shared" si="30"/>
        <v>413.05557876002064</v>
      </c>
      <c r="AC34" s="36">
        <f t="shared" si="31"/>
        <v>634.72716374188087</v>
      </c>
      <c r="AD34" s="36">
        <f t="shared" si="32"/>
        <v>15.795184086395759</v>
      </c>
      <c r="AE34" s="37">
        <f t="shared" si="33"/>
        <v>11.645527679136558</v>
      </c>
      <c r="AF34" s="40">
        <f t="shared" si="4"/>
        <v>432.76566256933859</v>
      </c>
      <c r="AG34" s="32">
        <f t="shared" si="34"/>
        <v>609.17913485982172</v>
      </c>
      <c r="AH34" s="32">
        <f t="shared" si="35"/>
        <v>12.367092788244889</v>
      </c>
      <c r="AI34" s="33">
        <f t="shared" si="36"/>
        <v>14.274936320197529</v>
      </c>
      <c r="AJ34" s="33">
        <f t="shared" si="37"/>
        <v>10.322209152894796</v>
      </c>
      <c r="AK34" s="39">
        <f t="shared" si="5"/>
        <v>413.25128305529938</v>
      </c>
      <c r="AL34" s="36">
        <f t="shared" si="38"/>
        <v>610.25162432772481</v>
      </c>
      <c r="AM34" s="36">
        <f t="shared" si="39"/>
        <v>12.747363335860587</v>
      </c>
      <c r="AN34" s="37">
        <f t="shared" si="40"/>
        <v>13.873478276238888</v>
      </c>
      <c r="AO34" s="40">
        <f t="shared" si="6"/>
        <v>491.29690548543425</v>
      </c>
      <c r="AP34" s="32">
        <f t="shared" si="56"/>
        <v>609.18816825329691</v>
      </c>
      <c r="AQ34" s="32">
        <f t="shared" si="41"/>
        <v>12.370825776607774</v>
      </c>
      <c r="AR34" s="33">
        <f t="shared" si="42"/>
        <v>14.270840368616966</v>
      </c>
      <c r="AS34" s="33">
        <f t="shared" si="43"/>
        <v>10.321676882143723</v>
      </c>
      <c r="AT34" s="39">
        <f t="shared" si="7"/>
        <v>413.22384589887707</v>
      </c>
      <c r="AU34" s="36">
        <f t="shared" si="44"/>
        <v>615.98489696260128</v>
      </c>
      <c r="AV34" s="36">
        <f t="shared" si="45"/>
        <v>13.927909284470079</v>
      </c>
      <c r="AW34" s="37">
        <f t="shared" si="46"/>
        <v>12.816838547237131</v>
      </c>
      <c r="AX34" s="40">
        <f t="shared" si="8"/>
        <v>467.82204845254745</v>
      </c>
      <c r="AY34" s="2">
        <f t="shared" si="57"/>
        <v>14.288503640485038</v>
      </c>
      <c r="AZ34" s="2">
        <f t="shared" si="47"/>
        <v>413.49699583973347</v>
      </c>
      <c r="BA34" s="2">
        <f t="shared" si="48"/>
        <v>492.22378423520809</v>
      </c>
      <c r="BB34" s="44">
        <f t="shared" si="60"/>
        <v>492.22378423520809</v>
      </c>
      <c r="BC34">
        <f t="shared" si="49"/>
        <v>72</v>
      </c>
      <c r="BD34" s="2">
        <f t="shared" si="50"/>
        <v>107.33293737596786</v>
      </c>
      <c r="BE34" s="2">
        <f t="shared" si="51"/>
        <v>393.77902738816647</v>
      </c>
      <c r="BF34" s="2">
        <f t="shared" si="9"/>
        <v>56.789707994681883</v>
      </c>
      <c r="BG34" s="24">
        <f t="shared" si="61"/>
        <v>0.52909861020348126</v>
      </c>
    </row>
    <row r="35" spans="1:59" x14ac:dyDescent="0.25">
      <c r="A35">
        <f t="shared" si="11"/>
        <v>78</v>
      </c>
      <c r="B35">
        <v>1.3</v>
      </c>
      <c r="C35" s="2">
        <f t="shared" si="58"/>
        <v>492.22378423520809</v>
      </c>
      <c r="D35" s="2">
        <f t="shared" si="12"/>
        <v>13.947221203378225</v>
      </c>
      <c r="E35" s="2">
        <f t="shared" si="13"/>
        <v>616.1138150715185</v>
      </c>
      <c r="F35" s="25">
        <f t="shared" si="14"/>
        <v>18.889368901608925</v>
      </c>
      <c r="G35">
        <f t="shared" si="15"/>
        <v>6.7272813497214662E-5</v>
      </c>
      <c r="H35">
        <f t="shared" si="16"/>
        <v>1.9669254811450695E-4</v>
      </c>
      <c r="I35" s="51">
        <f t="shared" si="59"/>
        <v>1.0406130020863415E-4</v>
      </c>
      <c r="J35" s="28">
        <f t="shared" si="52"/>
        <v>0.18520993148152273</v>
      </c>
      <c r="K35" s="24">
        <f t="shared" si="53"/>
        <v>13.445853545554016</v>
      </c>
      <c r="L35" s="33">
        <f t="shared" si="54"/>
        <v>10.234507346262347</v>
      </c>
      <c r="M35" s="39">
        <f t="shared" si="55"/>
        <v>407.06752388034084</v>
      </c>
      <c r="N35" s="40">
        <f t="shared" si="17"/>
        <v>240.67857071643891</v>
      </c>
      <c r="O35" s="32">
        <f t="shared" si="18"/>
        <v>608.91677241233492</v>
      </c>
      <c r="P35" s="32">
        <f t="shared" si="19"/>
        <v>12.253287537283352</v>
      </c>
      <c r="Q35" s="33">
        <f t="shared" si="20"/>
        <v>15.1258723240656</v>
      </c>
      <c r="R35" s="33">
        <f t="shared" si="21"/>
        <v>10.460545452113411</v>
      </c>
      <c r="S35" s="39">
        <f t="shared" si="22"/>
        <v>420.97553214166743</v>
      </c>
      <c r="T35" s="36">
        <f t="shared" si="23"/>
        <v>604.0349776685282</v>
      </c>
      <c r="U35" s="36">
        <f t="shared" si="24"/>
        <v>9.412236717739038</v>
      </c>
      <c r="V35" s="37">
        <f t="shared" si="25"/>
        <v>19.533693326099211</v>
      </c>
      <c r="W35" s="40">
        <f t="shared" si="3"/>
        <v>591.78543599734201</v>
      </c>
      <c r="X35" s="32">
        <f t="shared" si="26"/>
        <v>609.56935189237129</v>
      </c>
      <c r="Y35" s="32">
        <f t="shared" si="27"/>
        <v>12.518848190645128</v>
      </c>
      <c r="Z35" s="33">
        <f t="shared" si="28"/>
        <v>14.820875826660883</v>
      </c>
      <c r="AA35" s="33">
        <f t="shared" si="29"/>
        <v>10.404127369306579</v>
      </c>
      <c r="AB35" s="39">
        <f t="shared" si="30"/>
        <v>418.25678746739607</v>
      </c>
      <c r="AC35" s="36">
        <f t="shared" si="31"/>
        <v>639.60405357112609</v>
      </c>
      <c r="AD35" s="36">
        <f t="shared" si="32"/>
        <v>16.133685006789818</v>
      </c>
      <c r="AE35" s="37">
        <f t="shared" si="33"/>
        <v>12.066817717746567</v>
      </c>
      <c r="AF35" s="40">
        <f t="shared" si="4"/>
        <v>439.25766321651133</v>
      </c>
      <c r="AG35" s="32">
        <f t="shared" si="34"/>
        <v>609.42958134116031</v>
      </c>
      <c r="AH35" s="32">
        <f t="shared" si="35"/>
        <v>12.466595543870351</v>
      </c>
      <c r="AI35" s="33">
        <f t="shared" si="36"/>
        <v>14.879583653020925</v>
      </c>
      <c r="AJ35" s="33">
        <f t="shared" si="37"/>
        <v>10.414347516714084</v>
      </c>
      <c r="AK35" s="39">
        <f t="shared" si="5"/>
        <v>418.76366803466459</v>
      </c>
      <c r="AL35" s="36">
        <f t="shared" si="38"/>
        <v>610.68439613187593</v>
      </c>
      <c r="AM35" s="36">
        <f t="shared" si="39"/>
        <v>12.874519953363759</v>
      </c>
      <c r="AN35" s="37">
        <f t="shared" si="40"/>
        <v>14.437795862544915</v>
      </c>
      <c r="AO35" s="40">
        <f t="shared" si="6"/>
        <v>503.23148291509034</v>
      </c>
      <c r="AP35" s="32">
        <f t="shared" si="56"/>
        <v>609.45516785149266</v>
      </c>
      <c r="AQ35" s="32">
        <f t="shared" si="41"/>
        <v>12.47632492835789</v>
      </c>
      <c r="AR35" s="33">
        <f t="shared" si="42"/>
        <v>14.868604363287982</v>
      </c>
      <c r="AS35" s="33">
        <f t="shared" si="43"/>
        <v>10.412413718241876</v>
      </c>
      <c r="AT35" s="39">
        <f t="shared" si="7"/>
        <v>418.66833196509191</v>
      </c>
      <c r="AU35" s="36">
        <f t="shared" si="44"/>
        <v>617.7515783203196</v>
      </c>
      <c r="AV35" s="36">
        <f t="shared" si="45"/>
        <v>14.178042726671702</v>
      </c>
      <c r="AW35" s="37">
        <f t="shared" si="46"/>
        <v>13.262112304872366</v>
      </c>
      <c r="AX35" s="40">
        <f t="shared" si="8"/>
        <v>476.78948074857647</v>
      </c>
      <c r="AY35" s="2">
        <f t="shared" si="57"/>
        <v>14.874419422287305</v>
      </c>
      <c r="AZ35" s="2">
        <f t="shared" si="47"/>
        <v>419.16607990220496</v>
      </c>
      <c r="BA35" s="2">
        <f t="shared" si="48"/>
        <v>502.76601571938011</v>
      </c>
      <c r="BB35" s="44">
        <f t="shared" si="60"/>
        <v>502.76601571938011</v>
      </c>
      <c r="BC35">
        <f t="shared" si="49"/>
        <v>78</v>
      </c>
      <c r="BD35" s="2">
        <f t="shared" si="50"/>
        <v>104.06130020863415</v>
      </c>
      <c r="BE35" s="2">
        <f t="shared" si="51"/>
        <v>402.21281257550413</v>
      </c>
      <c r="BF35" s="2">
        <f t="shared" si="9"/>
        <v>53.963390935905799</v>
      </c>
      <c r="BG35" s="24">
        <f t="shared" si="61"/>
        <v>0.51857309900715964</v>
      </c>
    </row>
    <row r="36" spans="1:59" x14ac:dyDescent="0.25">
      <c r="A36">
        <f t="shared" si="11"/>
        <v>84</v>
      </c>
      <c r="B36">
        <v>1.4</v>
      </c>
      <c r="C36" s="2">
        <f t="shared" si="58"/>
        <v>502.76601571938011</v>
      </c>
      <c r="D36" s="2">
        <f t="shared" si="12"/>
        <v>14.168227339862522</v>
      </c>
      <c r="E36" s="2">
        <f t="shared" si="13"/>
        <v>617.67824203869873</v>
      </c>
      <c r="F36" s="25">
        <f t="shared" si="14"/>
        <v>20.07592941483005</v>
      </c>
      <c r="G36">
        <f t="shared" si="15"/>
        <v>6.5254502854412592E-5</v>
      </c>
      <c r="H36">
        <f t="shared" si="16"/>
        <v>1.9079140257618628E-4</v>
      </c>
      <c r="I36" s="51">
        <f t="shared" si="59"/>
        <v>1.0111072743947381E-4</v>
      </c>
      <c r="J36" s="28">
        <f t="shared" si="52"/>
        <v>0.18075111556025159</v>
      </c>
      <c r="K36" s="24">
        <f t="shared" si="53"/>
        <v>13.885277873196785</v>
      </c>
      <c r="L36" s="33">
        <f t="shared" si="54"/>
        <v>10.276322124551427</v>
      </c>
      <c r="M36" s="39">
        <f t="shared" si="55"/>
        <v>409.49122026388534</v>
      </c>
      <c r="N36" s="40">
        <f t="shared" si="17"/>
        <v>245.034871965788</v>
      </c>
      <c r="O36" s="32">
        <f t="shared" si="18"/>
        <v>609.01974576624775</v>
      </c>
      <c r="P36" s="32">
        <f t="shared" si="19"/>
        <v>12.29925404909126</v>
      </c>
      <c r="Q36" s="33">
        <f t="shared" si="20"/>
        <v>15.771042065801719</v>
      </c>
      <c r="R36" s="33">
        <f t="shared" si="21"/>
        <v>10.609885276925734</v>
      </c>
      <c r="S36" s="39">
        <f t="shared" si="22"/>
        <v>428.79380579672556</v>
      </c>
      <c r="T36" s="36">
        <f t="shared" si="23"/>
        <v>604.30632345216998</v>
      </c>
      <c r="U36" s="36">
        <f t="shared" si="24"/>
        <v>9.4787138336720886</v>
      </c>
      <c r="V36" s="37">
        <f t="shared" si="25"/>
        <v>20.305585446826711</v>
      </c>
      <c r="W36" s="40">
        <f t="shared" si="3"/>
        <v>605.75014327131146</v>
      </c>
      <c r="X36" s="32">
        <f t="shared" si="26"/>
        <v>610.00739877083197</v>
      </c>
      <c r="Y36" s="32">
        <f t="shared" si="27"/>
        <v>12.670033405287814</v>
      </c>
      <c r="Z36" s="33">
        <f t="shared" si="28"/>
        <v>15.334341517476332</v>
      </c>
      <c r="AA36" s="33">
        <f t="shared" si="29"/>
        <v>10.504099469639549</v>
      </c>
      <c r="AB36" s="39">
        <f t="shared" si="30"/>
        <v>423.8311883400786</v>
      </c>
      <c r="AC36" s="36">
        <f t="shared" si="31"/>
        <v>644.73704870735401</v>
      </c>
      <c r="AD36" s="36">
        <f t="shared" si="32"/>
        <v>16.458118650944279</v>
      </c>
      <c r="AE36" s="37">
        <f t="shared" si="33"/>
        <v>12.477001482454089</v>
      </c>
      <c r="AF36" s="40">
        <f t="shared" si="4"/>
        <v>445.05675075028552</v>
      </c>
      <c r="AG36" s="32">
        <f t="shared" si="34"/>
        <v>609.7230034762274</v>
      </c>
      <c r="AH36" s="32">
        <f t="shared" si="35"/>
        <v>12.57391048304892</v>
      </c>
      <c r="AI36" s="33">
        <f t="shared" si="36"/>
        <v>15.444363150087195</v>
      </c>
      <c r="AJ36" s="33">
        <f t="shared" si="37"/>
        <v>10.528834663404059</v>
      </c>
      <c r="AK36" s="39">
        <f t="shared" si="5"/>
        <v>425.02738631199765</v>
      </c>
      <c r="AL36" s="36">
        <f t="shared" si="38"/>
        <v>611.10819813618309</v>
      </c>
      <c r="AM36" s="36">
        <f t="shared" si="39"/>
        <v>12.988903019917904</v>
      </c>
      <c r="AN36" s="37">
        <f t="shared" si="40"/>
        <v>14.984885347401969</v>
      </c>
      <c r="AO36" s="40">
        <f t="shared" si="6"/>
        <v>514.57834850401628</v>
      </c>
      <c r="AP36" s="32">
        <f t="shared" si="56"/>
        <v>609.78950563099465</v>
      </c>
      <c r="AQ36" s="32">
        <f t="shared" si="41"/>
        <v>12.597029659674149</v>
      </c>
      <c r="AR36" s="33">
        <f t="shared" si="42"/>
        <v>15.417699713333915</v>
      </c>
      <c r="AS36" s="33">
        <f t="shared" si="43"/>
        <v>10.522725793151313</v>
      </c>
      <c r="AT36" s="39">
        <f t="shared" si="7"/>
        <v>424.73445823712319</v>
      </c>
      <c r="AU36" s="36">
        <f t="shared" si="44"/>
        <v>619.65595734303395</v>
      </c>
      <c r="AV36" s="36">
        <f t="shared" si="45"/>
        <v>14.418817201899595</v>
      </c>
      <c r="AW36" s="37">
        <f t="shared" si="46"/>
        <v>13.6876465493193</v>
      </c>
      <c r="AX36" s="40">
        <f t="shared" si="8"/>
        <v>485.01667296266368</v>
      </c>
      <c r="AY36" s="2">
        <f t="shared" si="57"/>
        <v>15.427820659087654</v>
      </c>
      <c r="AZ36" s="2">
        <f t="shared" si="47"/>
        <v>425.59670967148128</v>
      </c>
      <c r="BA36" s="2">
        <f t="shared" si="48"/>
        <v>512.60047887206929</v>
      </c>
      <c r="BB36" s="44">
        <f t="shared" si="60"/>
        <v>512.60047887206929</v>
      </c>
      <c r="BC36">
        <f t="shared" si="49"/>
        <v>84</v>
      </c>
      <c r="BD36" s="2">
        <f t="shared" si="50"/>
        <v>101.11072743947381</v>
      </c>
      <c r="BE36" s="2">
        <f t="shared" si="51"/>
        <v>410.08038309765544</v>
      </c>
      <c r="BF36" s="2">
        <f t="shared" si="9"/>
        <v>51.484315105476121</v>
      </c>
      <c r="BG36" s="24">
        <f t="shared" si="61"/>
        <v>0.5091874661498732</v>
      </c>
    </row>
    <row r="37" spans="1:59" x14ac:dyDescent="0.25">
      <c r="A37" s="20">
        <f t="shared" si="11"/>
        <v>90</v>
      </c>
      <c r="B37" s="20">
        <v>1.5</v>
      </c>
      <c r="C37" s="27">
        <f>BB36</f>
        <v>512.60047887206929</v>
      </c>
      <c r="D37" s="2">
        <f t="shared" si="12"/>
        <v>14.376640313050318</v>
      </c>
      <c r="E37" s="2">
        <f t="shared" si="13"/>
        <v>619.30756873759492</v>
      </c>
      <c r="F37" s="25">
        <f t="shared" si="14"/>
        <v>21.254019623030072</v>
      </c>
      <c r="G37">
        <f t="shared" si="15"/>
        <v>6.3420224748975126E-5</v>
      </c>
      <c r="H37">
        <f t="shared" si="16"/>
        <v>1.854283321803854E-4</v>
      </c>
      <c r="I37" s="51">
        <f t="shared" si="59"/>
        <v>9.8429192241573371E-5</v>
      </c>
      <c r="J37" s="28">
        <f t="shared" si="52"/>
        <v>0.17667488589520008</v>
      </c>
      <c r="K37" s="24">
        <f t="shared" si="53"/>
        <v>14.310232129513922</v>
      </c>
      <c r="L37" s="33">
        <f t="shared" si="54"/>
        <v>10.326842924644556</v>
      </c>
      <c r="M37" s="39">
        <f t="shared" si="55"/>
        <v>412.09516522252261</v>
      </c>
      <c r="N37" s="40">
        <f t="shared" si="17"/>
        <v>249.11335425178063</v>
      </c>
      <c r="O37" s="32">
        <f t="shared" si="18"/>
        <v>609.13523417263571</v>
      </c>
      <c r="P37" s="32">
        <f t="shared" si="19"/>
        <v>12.348785684722689</v>
      </c>
      <c r="Q37" s="33">
        <f t="shared" si="20"/>
        <v>16.386536357691028</v>
      </c>
      <c r="R37" s="33">
        <f t="shared" si="21"/>
        <v>10.796726717040922</v>
      </c>
      <c r="S37" s="39">
        <f t="shared" si="22"/>
        <v>438.0409613669317</v>
      </c>
      <c r="T37" s="36">
        <f t="shared" si="23"/>
        <v>604.54407734038136</v>
      </c>
      <c r="U37" s="36">
        <f t="shared" si="24"/>
        <v>9.5413367273381056</v>
      </c>
      <c r="V37" s="37">
        <f t="shared" si="25"/>
        <v>21.048271936398962</v>
      </c>
      <c r="W37" s="40">
        <f t="shared" si="3"/>
        <v>618.99951069809833</v>
      </c>
      <c r="X37" s="32">
        <f t="shared" si="26"/>
        <v>610.60001320266849</v>
      </c>
      <c r="Y37" s="32">
        <f t="shared" si="27"/>
        <v>12.850616939578247</v>
      </c>
      <c r="Z37" s="33">
        <f t="shared" si="28"/>
        <v>15.784489101282984</v>
      </c>
      <c r="AA37" s="33">
        <f t="shared" si="29"/>
        <v>10.613476257252106</v>
      </c>
      <c r="AB37" s="39">
        <f t="shared" si="30"/>
        <v>429.57320010014649</v>
      </c>
      <c r="AC37" s="36">
        <f t="shared" si="31"/>
        <v>650.10334948704747</v>
      </c>
      <c r="AD37" s="36">
        <f t="shared" si="32"/>
        <v>16.769971610593558</v>
      </c>
      <c r="AE37" s="37">
        <f t="shared" si="33"/>
        <v>12.877980836327843</v>
      </c>
      <c r="AF37" s="40">
        <f t="shared" si="4"/>
        <v>450.24773535316035</v>
      </c>
      <c r="AG37" s="32">
        <f t="shared" si="34"/>
        <v>610.05413401060423</v>
      </c>
      <c r="AH37" s="32">
        <f t="shared" si="35"/>
        <v>12.685179928519382</v>
      </c>
      <c r="AI37" s="33">
        <f t="shared" si="36"/>
        <v>15.976051101184856</v>
      </c>
      <c r="AJ37" s="33">
        <f t="shared" si="37"/>
        <v>10.666929242248511</v>
      </c>
      <c r="AK37" s="39">
        <f t="shared" si="5"/>
        <v>432.12299307076267</v>
      </c>
      <c r="AL37" s="36">
        <f t="shared" si="38"/>
        <v>611.51905647543936</v>
      </c>
      <c r="AM37" s="36">
        <f t="shared" si="39"/>
        <v>13.091930620903309</v>
      </c>
      <c r="AN37" s="37">
        <f t="shared" si="40"/>
        <v>15.516865596714849</v>
      </c>
      <c r="AO37" s="40">
        <f t="shared" si="6"/>
        <v>525.41450415456222</v>
      </c>
      <c r="AP37" s="32">
        <f t="shared" si="56"/>
        <v>610.21107552103376</v>
      </c>
      <c r="AQ37" s="32">
        <f t="shared" si="41"/>
        <v>12.734826940727755</v>
      </c>
      <c r="AR37" s="33">
        <f t="shared" si="42"/>
        <v>15.917862052411671</v>
      </c>
      <c r="AS37" s="33">
        <f t="shared" si="43"/>
        <v>10.650232366619505</v>
      </c>
      <c r="AT37" s="39">
        <f t="shared" si="7"/>
        <v>431.3356290478348</v>
      </c>
      <c r="AU37" s="36">
        <f t="shared" si="44"/>
        <v>621.69310580729211</v>
      </c>
      <c r="AV37" s="36">
        <f t="shared" si="45"/>
        <v>14.651446923968829</v>
      </c>
      <c r="AW37" s="37">
        <f t="shared" si="46"/>
        <v>14.095913740606417</v>
      </c>
      <c r="AX37" s="40">
        <f t="shared" si="8"/>
        <v>492.58436043242347</v>
      </c>
      <c r="AY37" s="2">
        <f t="shared" si="57"/>
        <v>15.950496340327327</v>
      </c>
      <c r="AZ37" s="2">
        <f t="shared" si="47"/>
        <v>432.76819589641894</v>
      </c>
      <c r="BA37" s="2">
        <f t="shared" si="48"/>
        <v>521.81152765956108</v>
      </c>
      <c r="BB37" s="44">
        <f t="shared" si="60"/>
        <v>521.81152765956108</v>
      </c>
      <c r="BC37">
        <f t="shared" si="49"/>
        <v>90</v>
      </c>
      <c r="BD37" s="2">
        <f t="shared" si="50"/>
        <v>98.429192241573375</v>
      </c>
      <c r="BE37" s="2">
        <f t="shared" si="51"/>
        <v>417.44922212764891</v>
      </c>
      <c r="BF37" s="2">
        <f t="shared" si="9"/>
        <v>49.29090770311398</v>
      </c>
      <c r="BG37" s="24">
        <f t="shared" si="61"/>
        <v>0.50077529420479239</v>
      </c>
    </row>
    <row r="38" spans="1:59" x14ac:dyDescent="0.25">
      <c r="A38">
        <f t="shared" si="11"/>
        <v>96</v>
      </c>
      <c r="B38">
        <v>1.6</v>
      </c>
      <c r="C38" s="2">
        <f t="shared" si="58"/>
        <v>521.81152765956108</v>
      </c>
      <c r="D38" s="2">
        <f t="shared" si="12"/>
        <v>14.573806630079025</v>
      </c>
      <c r="E38" s="2">
        <f t="shared" si="13"/>
        <v>620.9912472708188</v>
      </c>
      <c r="F38" s="25">
        <f t="shared" si="14"/>
        <v>22.425043622264738</v>
      </c>
      <c r="G38">
        <f t="shared" si="15"/>
        <v>6.174213842402095E-5</v>
      </c>
      <c r="H38">
        <f t="shared" si="16"/>
        <v>1.8052193599963089E-4</v>
      </c>
      <c r="I38" s="51">
        <f t="shared" si="59"/>
        <v>9.5975994151196114E-5</v>
      </c>
      <c r="J38" s="28">
        <f t="shared" si="52"/>
        <v>0.17292505869969746</v>
      </c>
      <c r="K38" s="24">
        <f t="shared" si="53"/>
        <v>14.72236552767173</v>
      </c>
      <c r="L38" s="33">
        <f t="shared" si="54"/>
        <v>10.387630368041318</v>
      </c>
      <c r="M38" s="39">
        <f t="shared" si="55"/>
        <v>414.9652772929615</v>
      </c>
      <c r="N38" s="40">
        <f t="shared" si="17"/>
        <v>252.94598541088229</v>
      </c>
      <c r="O38" s="32">
        <f t="shared" si="18"/>
        <v>609.26856843527537</v>
      </c>
      <c r="P38" s="32">
        <f t="shared" si="19"/>
        <v>12.403556254235717</v>
      </c>
      <c r="Q38" s="33">
        <f t="shared" si="20"/>
        <v>16.971790936688674</v>
      </c>
      <c r="R38" s="33">
        <f t="shared" si="21"/>
        <v>11.021410326423023</v>
      </c>
      <c r="S38" s="39">
        <f t="shared" si="22"/>
        <v>448.75484168393569</v>
      </c>
      <c r="T38" s="36">
        <f t="shared" si="23"/>
        <v>604.75378038281542</v>
      </c>
      <c r="U38" s="36">
        <f t="shared" si="24"/>
        <v>9.6005242979322656</v>
      </c>
      <c r="V38" s="37">
        <f t="shared" si="25"/>
        <v>21.764503328757645</v>
      </c>
      <c r="W38" s="40">
        <f t="shared" si="3"/>
        <v>631.61183052625518</v>
      </c>
      <c r="X38" s="32">
        <f t="shared" si="26"/>
        <v>611.39775853712899</v>
      </c>
      <c r="Y38" s="32">
        <f t="shared" si="27"/>
        <v>13.062238714205721</v>
      </c>
      <c r="Z38" s="33">
        <f t="shared" si="28"/>
        <v>16.172283506115317</v>
      </c>
      <c r="AA38" s="33">
        <f t="shared" si="29"/>
        <v>10.726297429026964</v>
      </c>
      <c r="AB38" s="39">
        <f t="shared" si="30"/>
        <v>435.21789373214403</v>
      </c>
      <c r="AC38" s="36">
        <f t="shared" si="31"/>
        <v>655.68275252698174</v>
      </c>
      <c r="AD38" s="36">
        <f t="shared" si="32"/>
        <v>17.070483425727968</v>
      </c>
      <c r="AE38" s="37">
        <f t="shared" si="33"/>
        <v>13.271287568588008</v>
      </c>
      <c r="AF38" s="40">
        <f t="shared" si="4"/>
        <v>454.90136235937376</v>
      </c>
      <c r="AG38" s="32">
        <f t="shared" si="34"/>
        <v>610.41008919287151</v>
      </c>
      <c r="AH38" s="32">
        <f t="shared" si="35"/>
        <v>12.795283404725666</v>
      </c>
      <c r="AI38" s="33">
        <f t="shared" si="36"/>
        <v>16.483024867026302</v>
      </c>
      <c r="AJ38" s="33">
        <f t="shared" si="37"/>
        <v>10.830436844697306</v>
      </c>
      <c r="AK38" s="39">
        <f t="shared" si="5"/>
        <v>440.15437265530176</v>
      </c>
      <c r="AL38" s="36">
        <f t="shared" si="38"/>
        <v>611.91390283239366</v>
      </c>
      <c r="AM38" s="36">
        <f t="shared" si="39"/>
        <v>13.184806172504892</v>
      </c>
      <c r="AN38" s="37">
        <f t="shared" si="40"/>
        <v>16.035469904312713</v>
      </c>
      <c r="AO38" s="40">
        <f t="shared" si="6"/>
        <v>535.80281675787603</v>
      </c>
      <c r="AP38" s="32">
        <f t="shared" si="56"/>
        <v>610.74757721402045</v>
      </c>
      <c r="AQ38" s="32">
        <f t="shared" si="41"/>
        <v>12.892157703271986</v>
      </c>
      <c r="AR38" s="33">
        <f t="shared" si="42"/>
        <v>16.36821283850907</v>
      </c>
      <c r="AS38" s="33">
        <f t="shared" si="43"/>
        <v>10.790467009289127</v>
      </c>
      <c r="AT38" s="39">
        <f t="shared" si="7"/>
        <v>438.2876548411117</v>
      </c>
      <c r="AU38" s="36">
        <f t="shared" si="44"/>
        <v>623.85874532352159</v>
      </c>
      <c r="AV38" s="36">
        <f t="shared" si="45"/>
        <v>14.876931835153892</v>
      </c>
      <c r="AW38" s="37">
        <f t="shared" si="46"/>
        <v>14.488986723935243</v>
      </c>
      <c r="AX38" s="40">
        <f t="shared" si="8"/>
        <v>499.55948274021779</v>
      </c>
      <c r="AY38" s="2">
        <f t="shared" si="57"/>
        <v>16.444444959241622</v>
      </c>
      <c r="AZ38" s="2">
        <f t="shared" si="47"/>
        <v>440.60369072812324</v>
      </c>
      <c r="BA38" s="2">
        <f t="shared" si="48"/>
        <v>530.46887309593069</v>
      </c>
      <c r="BB38" s="44">
        <f t="shared" si="60"/>
        <v>530.46887309593069</v>
      </c>
      <c r="BC38">
        <f t="shared" si="49"/>
        <v>96</v>
      </c>
      <c r="BD38" s="2">
        <f t="shared" si="50"/>
        <v>95.975994151196119</v>
      </c>
      <c r="BE38" s="2">
        <f t="shared" si="51"/>
        <v>424.3750984767446</v>
      </c>
      <c r="BF38" s="2">
        <f t="shared" si="9"/>
        <v>47.33506799132693</v>
      </c>
      <c r="BG38" s="24">
        <f t="shared" si="61"/>
        <v>0.49319695419624898</v>
      </c>
    </row>
    <row r="39" spans="1:59" x14ac:dyDescent="0.25">
      <c r="A39">
        <f t="shared" si="11"/>
        <v>102</v>
      </c>
      <c r="B39">
        <v>1.7</v>
      </c>
      <c r="C39" s="2">
        <f t="shared" si="58"/>
        <v>530.46887309593069</v>
      </c>
      <c r="D39" s="2">
        <f t="shared" si="12"/>
        <v>14.760853257427106</v>
      </c>
      <c r="E39" s="2">
        <f t="shared" si="13"/>
        <v>622.72004605431687</v>
      </c>
      <c r="F39" s="25">
        <f t="shared" si="14"/>
        <v>23.590173920036655</v>
      </c>
      <c r="G39">
        <f t="shared" si="15"/>
        <v>6.0198094441871568E-5</v>
      </c>
      <c r="H39">
        <f t="shared" si="16"/>
        <v>1.7600745341057717E-4</v>
      </c>
      <c r="I39" s="51">
        <f t="shared" si="59"/>
        <v>9.3718752856669258E-5</v>
      </c>
      <c r="J39" s="28">
        <f t="shared" si="52"/>
        <v>0.16945671895436762</v>
      </c>
      <c r="K39" s="24">
        <f t="shared" si="53"/>
        <v>15.123047761570097</v>
      </c>
      <c r="L39" s="33">
        <f t="shared" si="54"/>
        <v>10.459984116487576</v>
      </c>
      <c r="M39" s="39">
        <f t="shared" si="55"/>
        <v>418.17292308948595</v>
      </c>
      <c r="N39" s="40">
        <f t="shared" si="17"/>
        <v>256.55959863775917</v>
      </c>
      <c r="O39" s="32">
        <f t="shared" si="18"/>
        <v>609.4253686316722</v>
      </c>
      <c r="P39" s="32">
        <f t="shared" si="19"/>
        <v>12.46498635311705</v>
      </c>
      <c r="Q39" s="33">
        <f t="shared" si="20"/>
        <v>17.526155534946433</v>
      </c>
      <c r="R39" s="33">
        <f t="shared" si="21"/>
        <v>11.282351001211861</v>
      </c>
      <c r="S39" s="39">
        <f t="shared" si="22"/>
        <v>460.88949350142252</v>
      </c>
      <c r="T39" s="36">
        <f t="shared" si="23"/>
        <v>604.93985513974235</v>
      </c>
      <c r="U39" s="36">
        <f t="shared" si="24"/>
        <v>9.6566309283382772</v>
      </c>
      <c r="V39" s="37">
        <f t="shared" si="25"/>
        <v>22.45662593727257</v>
      </c>
      <c r="W39" s="40">
        <f t="shared" si="3"/>
        <v>643.65256184666907</v>
      </c>
      <c r="X39" s="32">
        <f t="shared" si="26"/>
        <v>612.46059005610596</v>
      </c>
      <c r="Y39" s="32">
        <f t="shared" si="27"/>
        <v>13.305029028647946</v>
      </c>
      <c r="Z39" s="33">
        <f t="shared" si="28"/>
        <v>16.501379873355088</v>
      </c>
      <c r="AA39" s="33">
        <f t="shared" si="29"/>
        <v>10.836993251812896</v>
      </c>
      <c r="AB39" s="39">
        <f t="shared" si="30"/>
        <v>440.50250699873521</v>
      </c>
      <c r="AC39" s="36">
        <f t="shared" si="31"/>
        <v>661.45728732185523</v>
      </c>
      <c r="AD39" s="36">
        <f t="shared" si="32"/>
        <v>17.360700705498232</v>
      </c>
      <c r="AE39" s="37">
        <f t="shared" si="33"/>
        <v>13.65816942294763</v>
      </c>
      <c r="AF39" s="40">
        <f t="shared" si="4"/>
        <v>459.07737534866561</v>
      </c>
      <c r="AG39" s="32">
        <f t="shared" si="34"/>
        <v>610.77233475727098</v>
      </c>
      <c r="AH39" s="32">
        <f t="shared" si="35"/>
        <v>12.899010155855894</v>
      </c>
      <c r="AI39" s="33">
        <f t="shared" si="36"/>
        <v>16.97387160444956</v>
      </c>
      <c r="AJ39" s="33">
        <f t="shared" si="37"/>
        <v>11.022298626303385</v>
      </c>
      <c r="AK39" s="39">
        <f t="shared" si="5"/>
        <v>449.27323409657498</v>
      </c>
      <c r="AL39" s="36">
        <f t="shared" si="38"/>
        <v>612.29045292984563</v>
      </c>
      <c r="AM39" s="36">
        <f t="shared" si="39"/>
        <v>13.268562635362517</v>
      </c>
      <c r="AN39" s="37">
        <f t="shared" si="40"/>
        <v>16.542134554008836</v>
      </c>
      <c r="AO39" s="40">
        <f t="shared" si="6"/>
        <v>545.79522822319996</v>
      </c>
      <c r="AP39" s="32">
        <f t="shared" si="56"/>
        <v>611.43958728068583</v>
      </c>
      <c r="AQ39" s="32">
        <f t="shared" si="41"/>
        <v>13.072543274235041</v>
      </c>
      <c r="AR39" s="33">
        <f t="shared" si="42"/>
        <v>16.766847157914327</v>
      </c>
      <c r="AS39" s="33">
        <f t="shared" si="43"/>
        <v>10.93710658424898</v>
      </c>
      <c r="AT39" s="39">
        <f t="shared" si="7"/>
        <v>445.31427890202309</v>
      </c>
      <c r="AU39" s="36">
        <f t="shared" si="44"/>
        <v>626.14916837521969</v>
      </c>
      <c r="AV39" s="36">
        <f t="shared" si="45"/>
        <v>15.096104370045433</v>
      </c>
      <c r="AW39" s="37">
        <f t="shared" si="46"/>
        <v>14.868626719449157</v>
      </c>
      <c r="AX39" s="40">
        <f t="shared" si="8"/>
        <v>505.99831290973344</v>
      </c>
      <c r="AY39" s="2">
        <f t="shared" si="57"/>
        <v>16.911726350542953</v>
      </c>
      <c r="AZ39" s="2">
        <f t="shared" si="47"/>
        <v>448.99487837468894</v>
      </c>
      <c r="BA39" s="2">
        <f t="shared" si="48"/>
        <v>538.63086958206702</v>
      </c>
      <c r="BB39" s="44">
        <f t="shared" si="60"/>
        <v>538.63086958206702</v>
      </c>
      <c r="BC39">
        <f t="shared" si="49"/>
        <v>102</v>
      </c>
      <c r="BD39" s="2">
        <f t="shared" si="50"/>
        <v>93.718752856669255</v>
      </c>
      <c r="BE39" s="2">
        <f t="shared" si="51"/>
        <v>430.90469566565366</v>
      </c>
      <c r="BF39" s="2">
        <f t="shared" si="9"/>
        <v>45.578762021514848</v>
      </c>
      <c r="BG39" s="24">
        <f t="shared" si="61"/>
        <v>0.48633555859649225</v>
      </c>
    </row>
    <row r="40" spans="1:59" x14ac:dyDescent="0.25">
      <c r="A40">
        <f t="shared" si="11"/>
        <v>108</v>
      </c>
      <c r="B40">
        <v>1.8</v>
      </c>
      <c r="C40" s="2">
        <f t="shared" si="58"/>
        <v>538.63086958206702</v>
      </c>
      <c r="D40" s="2">
        <f t="shared" si="12"/>
        <v>14.938735132363318</v>
      </c>
      <c r="E40" s="2">
        <f t="shared" si="13"/>
        <v>624.48589736195959</v>
      </c>
      <c r="F40" s="25">
        <f t="shared" si="14"/>
        <v>24.75039594514935</v>
      </c>
      <c r="G40">
        <f t="shared" si="15"/>
        <v>5.8770209637029546E-5</v>
      </c>
      <c r="H40">
        <f t="shared" si="16"/>
        <v>1.7183259753525407E-4</v>
      </c>
      <c r="I40" s="51">
        <f t="shared" si="59"/>
        <v>9.1631324919007705E-5</v>
      </c>
      <c r="J40" s="28">
        <f t="shared" si="52"/>
        <v>0.16623343916813929</v>
      </c>
      <c r="K40" s="24">
        <f t="shared" si="53"/>
        <v>15.513428823060583</v>
      </c>
      <c r="L40" s="33">
        <f t="shared" si="54"/>
        <v>10.545004766247235</v>
      </c>
      <c r="M40" s="39">
        <f t="shared" si="55"/>
        <v>421.77808074537012</v>
      </c>
      <c r="N40" s="40">
        <f t="shared" si="17"/>
        <v>259.97695139289169</v>
      </c>
      <c r="O40" s="32">
        <f t="shared" si="18"/>
        <v>609.61181568903839</v>
      </c>
      <c r="P40" s="32">
        <f t="shared" si="19"/>
        <v>12.534304346168712</v>
      </c>
      <c r="Q40" s="33">
        <f t="shared" si="20"/>
        <v>18.048957812207444</v>
      </c>
      <c r="R40" s="33">
        <f t="shared" si="21"/>
        <v>11.576258749153691</v>
      </c>
      <c r="S40" s="39">
        <f t="shared" si="22"/>
        <v>474.32357487677007</v>
      </c>
      <c r="T40" s="36">
        <f t="shared" si="23"/>
        <v>605.10587217183024</v>
      </c>
      <c r="U40" s="36">
        <f t="shared" si="24"/>
        <v>9.7099594335402664</v>
      </c>
      <c r="V40" s="37">
        <f t="shared" si="25"/>
        <v>23.126661373784998</v>
      </c>
      <c r="W40" s="40">
        <f t="shared" si="3"/>
        <v>655.17705879661833</v>
      </c>
      <c r="X40" s="32">
        <f t="shared" si="26"/>
        <v>613.85589622443968</v>
      </c>
      <c r="Y40" s="32">
        <f t="shared" si="27"/>
        <v>13.577665466549327</v>
      </c>
      <c r="Z40" s="33">
        <f t="shared" si="28"/>
        <v>16.778004903480376</v>
      </c>
      <c r="AA40" s="33">
        <f t="shared" si="29"/>
        <v>10.941535843881411</v>
      </c>
      <c r="AB40" s="39">
        <f t="shared" si="30"/>
        <v>445.2169773890808</v>
      </c>
      <c r="AC40" s="36">
        <f t="shared" si="31"/>
        <v>667.41090768721597</v>
      </c>
      <c r="AD40" s="36">
        <f t="shared" si="32"/>
        <v>17.641516875164733</v>
      </c>
      <c r="AE40" s="37">
        <f t="shared" si="33"/>
        <v>14.039652711645561</v>
      </c>
      <c r="AF40" s="40">
        <f t="shared" si="4"/>
        <v>462.82675995847706</v>
      </c>
      <c r="AG40" s="32">
        <f t="shared" si="34"/>
        <v>611.12042658321241</v>
      </c>
      <c r="AH40" s="32">
        <f t="shared" si="35"/>
        <v>12.99207407586203</v>
      </c>
      <c r="AI40" s="33">
        <f t="shared" si="36"/>
        <v>17.456103227702116</v>
      </c>
      <c r="AJ40" s="33">
        <f t="shared" si="37"/>
        <v>11.246602049972207</v>
      </c>
      <c r="AK40" s="39">
        <f t="shared" si="5"/>
        <v>459.67870937305184</v>
      </c>
      <c r="AL40" s="36">
        <f t="shared" si="38"/>
        <v>612.64708646084273</v>
      </c>
      <c r="AM40" s="36">
        <f t="shared" si="39"/>
        <v>13.344095211809258</v>
      </c>
      <c r="AN40" s="37">
        <f t="shared" si="40"/>
        <v>17.038063395374273</v>
      </c>
      <c r="AO40" s="40">
        <f t="shared" si="6"/>
        <v>555.43510045432538</v>
      </c>
      <c r="AP40" s="32">
        <f t="shared" si="56"/>
        <v>612.34645319587526</v>
      </c>
      <c r="AQ40" s="32">
        <f t="shared" si="41"/>
        <v>13.280655503573167</v>
      </c>
      <c r="AR40" s="33">
        <f t="shared" si="42"/>
        <v>17.11105096000885</v>
      </c>
      <c r="AS40" s="33">
        <f t="shared" si="43"/>
        <v>11.082336927574634</v>
      </c>
      <c r="AT40" s="39">
        <f t="shared" si="7"/>
        <v>452.05783834938592</v>
      </c>
      <c r="AU40" s="36">
        <f t="shared" si="44"/>
        <v>628.56115667484596</v>
      </c>
      <c r="AV40" s="36">
        <f>((1.12*10^-5)*(AO40^2))+(0.00982*AO40)+6.4</f>
        <v>15.30966397560859</v>
      </c>
      <c r="AW40" s="37">
        <f t="shared" si="46"/>
        <v>15.236347529608324</v>
      </c>
      <c r="AX40" s="40">
        <f t="shared" si="8"/>
        <v>511.94873543286144</v>
      </c>
      <c r="AY40" s="2">
        <f t="shared" si="57"/>
        <v>17.354355239226493</v>
      </c>
      <c r="AZ40" s="2">
        <f t="shared" si="47"/>
        <v>457.81927499707217</v>
      </c>
      <c r="BA40" s="2">
        <f t="shared" si="48"/>
        <v>546.34691366057052</v>
      </c>
      <c r="BB40" s="44">
        <f t="shared" si="60"/>
        <v>546.34691366057052</v>
      </c>
      <c r="BC40">
        <f t="shared" si="49"/>
        <v>108</v>
      </c>
      <c r="BD40" s="2">
        <f t="shared" si="50"/>
        <v>91.63132491900771</v>
      </c>
      <c r="BE40" s="2">
        <f t="shared" si="51"/>
        <v>437.07753092845644</v>
      </c>
      <c r="BF40" s="2">
        <f t="shared" si="9"/>
        <v>43.991596199715978</v>
      </c>
      <c r="BG40" s="24">
        <f t="shared" si="61"/>
        <v>0.48009342043891479</v>
      </c>
    </row>
    <row r="41" spans="1:59" x14ac:dyDescent="0.25">
      <c r="A41">
        <f t="shared" si="11"/>
        <v>114</v>
      </c>
      <c r="B41">
        <v>1.9</v>
      </c>
      <c r="C41" s="2">
        <f t="shared" si="58"/>
        <v>546.34691366057052</v>
      </c>
      <c r="D41" s="2">
        <f t="shared" si="12"/>
        <v>15.10827013289083</v>
      </c>
      <c r="E41" s="2">
        <f t="shared" si="13"/>
        <v>626.28175353904044</v>
      </c>
      <c r="F41" s="25">
        <f t="shared" si="14"/>
        <v>25.90654253748335</v>
      </c>
      <c r="G41">
        <f t="shared" si="15"/>
        <v>5.7443856310645105E-5</v>
      </c>
      <c r="H41">
        <f t="shared" si="16"/>
        <v>1.6795459984340029E-4</v>
      </c>
      <c r="I41" s="51">
        <f t="shared" si="59"/>
        <v>8.9692326073080816E-5</v>
      </c>
      <c r="J41" s="28">
        <f t="shared" si="52"/>
        <v>0.16322529713037423</v>
      </c>
      <c r="K41" s="24">
        <f t="shared" si="53"/>
        <v>15.894483643081497</v>
      </c>
      <c r="L41" s="33">
        <f t="shared" si="54"/>
        <v>10.643638240851736</v>
      </c>
      <c r="M41" s="39">
        <f t="shared" si="55"/>
        <v>425.83167652895753</v>
      </c>
      <c r="N41" s="40">
        <f t="shared" si="17"/>
        <v>263.21752010873792</v>
      </c>
      <c r="O41" s="32">
        <f t="shared" si="18"/>
        <v>609.83494341649896</v>
      </c>
      <c r="P41" s="32">
        <f t="shared" si="19"/>
        <v>12.612592370951546</v>
      </c>
      <c r="Q41" s="33">
        <f t="shared" si="20"/>
        <v>18.539556977599684</v>
      </c>
      <c r="R41" s="33">
        <f t="shared" si="21"/>
        <v>11.898391436120676</v>
      </c>
      <c r="S41" s="39">
        <f t="shared" si="22"/>
        <v>488.87019981889665</v>
      </c>
      <c r="T41" s="36">
        <f t="shared" si="23"/>
        <v>605.25474366256708</v>
      </c>
      <c r="U41" s="36">
        <f t="shared" si="24"/>
        <v>9.760770831860377</v>
      </c>
      <c r="V41" s="37">
        <f t="shared" si="25"/>
        <v>23.776366785298929</v>
      </c>
      <c r="W41" s="40">
        <f t="shared" si="3"/>
        <v>666.23260012347851</v>
      </c>
      <c r="X41" s="32">
        <f t="shared" si="26"/>
        <v>615.65378143451767</v>
      </c>
      <c r="Y41" s="32">
        <f t="shared" si="27"/>
        <v>13.877438971656407</v>
      </c>
      <c r="Z41" s="33">
        <f t="shared" si="28"/>
        <v>17.010560792469821</v>
      </c>
      <c r="AA41" s="33">
        <f t="shared" si="29"/>
        <v>11.038071220417091</v>
      </c>
      <c r="AB41" s="39">
        <f t="shared" si="30"/>
        <v>449.235696945352</v>
      </c>
      <c r="AC41" s="36">
        <f t="shared" si="31"/>
        <v>673.52923123909341</v>
      </c>
      <c r="AD41" s="36">
        <f t="shared" si="32"/>
        <v>17.913701960846218</v>
      </c>
      <c r="AE41" s="37">
        <f t="shared" si="33"/>
        <v>14.416588777650208</v>
      </c>
      <c r="AF41" s="40">
        <f t="shared" si="4"/>
        <v>466.19342301385745</v>
      </c>
      <c r="AG41" s="32">
        <f t="shared" si="34"/>
        <v>611.43654807515554</v>
      </c>
      <c r="AH41" s="32">
        <f t="shared" si="35"/>
        <v>13.07179691179509</v>
      </c>
      <c r="AI41" s="33">
        <f t="shared" si="36"/>
        <v>17.935253069689917</v>
      </c>
      <c r="AJ41" s="33">
        <f t="shared" si="37"/>
        <v>11.508150033363773</v>
      </c>
      <c r="AK41" s="39">
        <f t="shared" si="5"/>
        <v>471.59776534698966</v>
      </c>
      <c r="AL41" s="36">
        <f t="shared" si="38"/>
        <v>612.98273638981573</v>
      </c>
      <c r="AM41" s="36">
        <f t="shared" si="39"/>
        <v>13.412186059803508</v>
      </c>
      <c r="AN41" s="37">
        <f t="shared" si="40"/>
        <v>17.524275825272845</v>
      </c>
      <c r="AO41" s="40">
        <f t="shared" si="6"/>
        <v>564.75896333504249</v>
      </c>
      <c r="AP41" s="32">
        <f t="shared" si="56"/>
        <v>613.55306377792283</v>
      </c>
      <c r="AQ41" s="32">
        <f t="shared" si="41"/>
        <v>13.522019921246512</v>
      </c>
      <c r="AR41" s="33">
        <f t="shared" si="42"/>
        <v>17.398105653560254</v>
      </c>
      <c r="AS41" s="33">
        <f t="shared" si="43"/>
        <v>11.217629009224613</v>
      </c>
      <c r="AT41" s="39">
        <f t="shared" si="7"/>
        <v>458.10661378601702</v>
      </c>
      <c r="AU41" s="36">
        <f t="shared" si="44"/>
        <v>631.09190470112617</v>
      </c>
      <c r="AV41" s="36">
        <f t="shared" si="45"/>
        <v>15.518203110623563</v>
      </c>
      <c r="AW41" s="37">
        <f t="shared" si="46"/>
        <v>15.59346334213007</v>
      </c>
      <c r="AX41" s="40">
        <f t="shared" si="8"/>
        <v>517.45193856469541</v>
      </c>
      <c r="AY41" s="2">
        <f t="shared" si="57"/>
        <v>17.774271402958966</v>
      </c>
      <c r="AZ41" s="2">
        <f t="shared" si="47"/>
        <v>466.95256897431386</v>
      </c>
      <c r="BA41" s="2">
        <f t="shared" si="48"/>
        <v>553.65923125926849</v>
      </c>
      <c r="BB41" s="44">
        <f t="shared" si="60"/>
        <v>553.65923125926849</v>
      </c>
      <c r="BC41">
        <f t="shared" si="49"/>
        <v>114</v>
      </c>
      <c r="BD41" s="2">
        <f t="shared" si="50"/>
        <v>89.692326073080821</v>
      </c>
      <c r="BE41" s="2">
        <f t="shared" si="51"/>
        <v>442.92738500741484</v>
      </c>
      <c r="BF41" s="2">
        <f t="shared" si="9"/>
        <v>42.549002107418147</v>
      </c>
      <c r="BG41" s="24">
        <f t="shared" si="61"/>
        <v>0.4743884339976806</v>
      </c>
    </row>
    <row r="42" spans="1:59" x14ac:dyDescent="0.25">
      <c r="A42" s="20">
        <f t="shared" si="11"/>
        <v>120</v>
      </c>
      <c r="B42" s="20">
        <v>2</v>
      </c>
      <c r="C42" s="27">
        <f t="shared" si="58"/>
        <v>553.65923125926849</v>
      </c>
      <c r="D42" s="2">
        <f t="shared" si="12"/>
        <v>15.270165347782385</v>
      </c>
      <c r="E42" s="2">
        <f t="shared" si="13"/>
        <v>628.10145715894896</v>
      </c>
      <c r="F42" s="25">
        <f t="shared" si="14"/>
        <v>27.059321004850688</v>
      </c>
      <c r="G42">
        <f t="shared" si="15"/>
        <v>5.6206930394175409E-5</v>
      </c>
      <c r="H42">
        <f t="shared" si="16"/>
        <v>1.6433807040615043E-4</v>
      </c>
      <c r="I42" s="51">
        <f t="shared" si="59"/>
        <v>8.7884061354455886E-5</v>
      </c>
      <c r="J42" s="28">
        <f t="shared" si="52"/>
        <v>0.1604074343426895</v>
      </c>
      <c r="K42" s="24">
        <f t="shared" si="53"/>
        <v>16.267045957435229</v>
      </c>
      <c r="L42" s="33">
        <f t="shared" si="54"/>
        <v>10.756708237523387</v>
      </c>
      <c r="M42" s="39">
        <f t="shared" si="55"/>
        <v>430.37734230743268</v>
      </c>
      <c r="N42" s="40">
        <f t="shared" si="17"/>
        <v>266.2981069594681</v>
      </c>
      <c r="O42" s="32">
        <f t="shared" si="18"/>
        <v>610.10295649367913</v>
      </c>
      <c r="P42" s="32">
        <f t="shared" si="19"/>
        <v>12.700821657301011</v>
      </c>
      <c r="Q42" s="33">
        <f t="shared" si="20"/>
        <v>18.997390246473877</v>
      </c>
      <c r="R42" s="33">
        <f t="shared" si="21"/>
        <v>12.242839255557037</v>
      </c>
      <c r="S42" s="39">
        <f t="shared" si="22"/>
        <v>504.28822667070108</v>
      </c>
      <c r="T42" s="36">
        <f t="shared" si="23"/>
        <v>605.38886653711347</v>
      </c>
      <c r="U42" s="36">
        <f t="shared" si="24"/>
        <v>9.8092918461681755</v>
      </c>
      <c r="V42" s="37">
        <f t="shared" si="25"/>
        <v>24.407281285932914</v>
      </c>
      <c r="W42" s="40">
        <f t="shared" si="3"/>
        <v>676.85992633187266</v>
      </c>
      <c r="X42" s="32">
        <f t="shared" si="26"/>
        <v>617.91944413202566</v>
      </c>
      <c r="Y42" s="32">
        <f t="shared" si="27"/>
        <v>14.200344480163505</v>
      </c>
      <c r="Z42" s="33">
        <f t="shared" si="28"/>
        <v>17.208999181133404</v>
      </c>
      <c r="AA42" s="33">
        <f t="shared" si="29"/>
        <v>11.127008932085861</v>
      </c>
      <c r="AB42" s="39">
        <f t="shared" si="30"/>
        <v>452.52896934179313</v>
      </c>
      <c r="AC42" s="36">
        <f t="shared" si="31"/>
        <v>679.79931968673054</v>
      </c>
      <c r="AD42" s="36">
        <f t="shared" si="32"/>
        <v>18.177925307167655</v>
      </c>
      <c r="AE42" s="37">
        <f t="shared" si="33"/>
        <v>14.78968905952593</v>
      </c>
      <c r="AF42" s="40">
        <f t="shared" si="4"/>
        <v>469.21547292865847</v>
      </c>
      <c r="AG42" s="32">
        <f t="shared" si="34"/>
        <v>611.70941047908786</v>
      </c>
      <c r="AH42" s="32">
        <f t="shared" si="35"/>
        <v>13.13739812158412</v>
      </c>
      <c r="AI42" s="33">
        <f t="shared" si="36"/>
        <v>18.414436472769328</v>
      </c>
      <c r="AJ42" s="33">
        <f t="shared" si="37"/>
        <v>11.811760685741667</v>
      </c>
      <c r="AK42" s="39">
        <f t="shared" si="5"/>
        <v>485.25418412084633</v>
      </c>
      <c r="AL42" s="36">
        <f t="shared" si="38"/>
        <v>613.2967906459952</v>
      </c>
      <c r="AM42" s="36">
        <f t="shared" si="39"/>
        <v>13.473523336558872</v>
      </c>
      <c r="AN42" s="37">
        <f t="shared" si="40"/>
        <v>18.00164303283508</v>
      </c>
      <c r="AO42" s="40">
        <f t="shared" si="6"/>
        <v>573.797840808057</v>
      </c>
      <c r="AP42" s="32">
        <f t="shared" si="56"/>
        <v>615.17734191358863</v>
      </c>
      <c r="AQ42" s="32">
        <f t="shared" si="41"/>
        <v>13.802478267982741</v>
      </c>
      <c r="AR42" s="33">
        <f t="shared" si="42"/>
        <v>17.626492137797751</v>
      </c>
      <c r="AS42" s="33">
        <f t="shared" si="43"/>
        <v>11.335011995361409</v>
      </c>
      <c r="AT42" s="39">
        <f t="shared" si="7"/>
        <v>463.04315015606147</v>
      </c>
      <c r="AU42" s="36">
        <f t="shared" si="44"/>
        <v>633.73895152390128</v>
      </c>
      <c r="AV42" s="36">
        <f t="shared" si="45"/>
        <v>15.72222717243419</v>
      </c>
      <c r="AW42" s="37">
        <f t="shared" si="46"/>
        <v>15.941124962396415</v>
      </c>
      <c r="AX42" s="40">
        <f t="shared" si="8"/>
        <v>522.54369397431776</v>
      </c>
      <c r="AY42" s="27">
        <f t="shared" si="57"/>
        <v>18.173382047358086</v>
      </c>
      <c r="AZ42" s="27">
        <f t="shared" si="47"/>
        <v>476.27863257235049</v>
      </c>
      <c r="BA42" s="27">
        <f t="shared" si="48"/>
        <v>560.60423351072654</v>
      </c>
      <c r="BB42" s="49">
        <f t="shared" si="60"/>
        <v>560.60423351072654</v>
      </c>
      <c r="BC42" s="20">
        <f>A42</f>
        <v>120</v>
      </c>
      <c r="BD42" s="27">
        <f>I42*10^6</f>
        <v>87.884061354455881</v>
      </c>
      <c r="BE42" s="27">
        <f t="shared" si="51"/>
        <v>448.48338680858126</v>
      </c>
      <c r="BF42" s="27">
        <f t="shared" si="9"/>
        <v>41.230845047424502</v>
      </c>
      <c r="BG42" s="54">
        <f t="shared" si="61"/>
        <v>0.46915042855303846</v>
      </c>
    </row>
    <row r="43" spans="1:59" x14ac:dyDescent="0.25">
      <c r="A43">
        <f t="shared" si="11"/>
        <v>126</v>
      </c>
      <c r="B43">
        <v>2.1</v>
      </c>
      <c r="C43" s="2">
        <f t="shared" si="58"/>
        <v>560.60423351072654</v>
      </c>
      <c r="D43" s="2">
        <f t="shared" si="12"/>
        <v>15.425037167333008</v>
      </c>
      <c r="E43" s="2">
        <f t="shared" si="13"/>
        <v>629.93962640401969</v>
      </c>
      <c r="F43" s="25">
        <f t="shared" si="14"/>
        <v>28.209334583805362</v>
      </c>
      <c r="G43">
        <f t="shared" si="15"/>
        <v>5.5049311850107499E-5</v>
      </c>
      <c r="H43">
        <f t="shared" si="16"/>
        <v>1.6095342021329428E-4</v>
      </c>
      <c r="I43" s="51">
        <f t="shared" si="59"/>
        <v>8.6191736258027813E-5</v>
      </c>
      <c r="J43" s="28">
        <f t="shared" si="52"/>
        <v>0.15775898870631708</v>
      </c>
      <c r="K43" s="24">
        <f t="shared" si="53"/>
        <v>16.631834375283056</v>
      </c>
      <c r="L43" s="33">
        <f t="shared" si="54"/>
        <v>10.884940351014073</v>
      </c>
      <c r="M43" s="39">
        <f t="shared" si="55"/>
        <v>435.45275902050423</v>
      </c>
      <c r="N43" s="40">
        <f t="shared" si="17"/>
        <v>269.23331026635753</v>
      </c>
      <c r="O43" s="32">
        <f t="shared" si="18"/>
        <v>610.42558119295973</v>
      </c>
      <c r="P43" s="32">
        <f t="shared" si="19"/>
        <v>12.799880073373329</v>
      </c>
      <c r="Q43" s="33">
        <f t="shared" si="20"/>
        <v>19.422014181328979</v>
      </c>
      <c r="R43" s="33">
        <f t="shared" si="21"/>
        <v>12.602836295225032</v>
      </c>
      <c r="S43" s="39">
        <f t="shared" si="22"/>
        <v>520.29480702334592</v>
      </c>
      <c r="T43" s="36">
        <f t="shared" si="23"/>
        <v>605.51022987506406</v>
      </c>
      <c r="U43" s="36">
        <f t="shared" si="24"/>
        <v>9.8557207508138163</v>
      </c>
      <c r="V43" s="37">
        <f t="shared" si="25"/>
        <v>25.02076230139523</v>
      </c>
      <c r="W43" s="40">
        <f t="shared" si="3"/>
        <v>687.09442249959659</v>
      </c>
      <c r="X43" s="32">
        <f t="shared" si="26"/>
        <v>620.70317110138888</v>
      </c>
      <c r="Y43" s="32">
        <f t="shared" si="27"/>
        <v>14.541209890582419</v>
      </c>
      <c r="Z43" s="33">
        <f t="shared" si="28"/>
        <v>17.384046024203418</v>
      </c>
      <c r="AA43" s="33">
        <f t="shared" si="29"/>
        <v>11.210689822480269</v>
      </c>
      <c r="AB43" s="39">
        <f t="shared" si="30"/>
        <v>455.1581191990673</v>
      </c>
      <c r="AC43" s="36">
        <f t="shared" si="31"/>
        <v>686.20949330618475</v>
      </c>
      <c r="AD43" s="36">
        <f t="shared" si="32"/>
        <v>18.434773177762644</v>
      </c>
      <c r="AE43" s="37">
        <f t="shared" si="33"/>
        <v>15.159551952247281</v>
      </c>
      <c r="AF43" s="40">
        <f t="shared" si="4"/>
        <v>471.92621246970089</v>
      </c>
      <c r="AG43" s="32">
        <f t="shared" si="34"/>
        <v>611.93643946334328</v>
      </c>
      <c r="AH43" s="32">
        <f t="shared" si="35"/>
        <v>13.189944561430565</v>
      </c>
      <c r="AI43" s="33">
        <f t="shared" si="36"/>
        <v>18.89429915112002</v>
      </c>
      <c r="AJ43" s="33">
        <f t="shared" si="37"/>
        <v>12.16142506467861</v>
      </c>
      <c r="AK43" s="39">
        <f t="shared" si="5"/>
        <v>500.83200552522851</v>
      </c>
      <c r="AL43" s="36">
        <f t="shared" si="38"/>
        <v>613.5890067824937</v>
      </c>
      <c r="AM43" s="36">
        <f t="shared" si="39"/>
        <v>13.528716126631632</v>
      </c>
      <c r="AN43" s="37">
        <f t="shared" si="40"/>
        <v>18.470915781746506</v>
      </c>
      <c r="AO43" s="40">
        <f t="shared" si="6"/>
        <v>582.57827249242541</v>
      </c>
      <c r="AP43" s="32">
        <f t="shared" si="56"/>
        <v>617.37745984217486</v>
      </c>
      <c r="AQ43" s="32">
        <f t="shared" si="41"/>
        <v>14.127496509152078</v>
      </c>
      <c r="AR43" s="33">
        <f t="shared" si="42"/>
        <v>17.797254178162881</v>
      </c>
      <c r="AS43" s="33">
        <f t="shared" si="43"/>
        <v>11.428664959613936</v>
      </c>
      <c r="AT43" s="39">
        <f t="shared" si="7"/>
        <v>466.50752476956603</v>
      </c>
      <c r="AU43" s="36">
        <f t="shared" si="44"/>
        <v>636.50012169316631</v>
      </c>
      <c r="AV43" s="36">
        <f t="shared" si="45"/>
        <v>15.922170003974516</v>
      </c>
      <c r="AW43" s="37">
        <f t="shared" si="46"/>
        <v>16.280347722795888</v>
      </c>
      <c r="AX43" s="40">
        <f t="shared" si="8"/>
        <v>527.25533963014675</v>
      </c>
      <c r="AY43" s="2">
        <f t="shared" si="57"/>
        <v>18.553648911625025</v>
      </c>
      <c r="AZ43" s="2">
        <f t="shared" si="47"/>
        <v>485.69811412930198</v>
      </c>
      <c r="BA43" s="2">
        <f t="shared" si="48"/>
        <v>567.21356177296741</v>
      </c>
      <c r="BB43" s="44">
        <f t="shared" si="60"/>
        <v>567.21356177296741</v>
      </c>
      <c r="BC43">
        <f t="shared" si="49"/>
        <v>126</v>
      </c>
      <c r="BD43" s="2">
        <f t="shared" si="50"/>
        <v>86.191736258027817</v>
      </c>
      <c r="BE43" s="2">
        <f t="shared" si="51"/>
        <v>453.77084941837393</v>
      </c>
      <c r="BF43" s="2">
        <f t="shared" ref="BF43:BF72" si="62">SQRT((2*BD43)^2/AY43)</f>
        <v>40.020356945356511</v>
      </c>
      <c r="BG43" s="24">
        <f t="shared" si="61"/>
        <v>0.46431779521820521</v>
      </c>
    </row>
    <row r="44" spans="1:59" x14ac:dyDescent="0.25">
      <c r="A44">
        <f t="shared" si="11"/>
        <v>132</v>
      </c>
      <c r="B44">
        <v>2.2000000000000002</v>
      </c>
      <c r="C44" s="2">
        <f t="shared" si="58"/>
        <v>567.21356177296741</v>
      </c>
      <c r="D44" s="2">
        <f t="shared" si="12"/>
        <v>15.573426892793311</v>
      </c>
      <c r="E44" s="2">
        <f t="shared" si="13"/>
        <v>631.79155512539808</v>
      </c>
      <c r="F44" s="25">
        <f t="shared" si="14"/>
        <v>29.357099631346614</v>
      </c>
      <c r="G44">
        <f t="shared" si="15"/>
        <v>5.3962460278933141E-5</v>
      </c>
      <c r="H44">
        <f t="shared" si="16"/>
        <v>1.5777567880717055E-4</v>
      </c>
      <c r="I44" s="51">
        <f t="shared" si="59"/>
        <v>8.4602865554965945E-5</v>
      </c>
      <c r="J44" s="28">
        <f t="shared" si="52"/>
        <v>0.15526229153826368</v>
      </c>
      <c r="K44" s="24">
        <f t="shared" si="53"/>
        <v>16.98947270929628</v>
      </c>
      <c r="L44" s="33">
        <f t="shared" si="54"/>
        <v>11.028980292049088</v>
      </c>
      <c r="M44" s="39">
        <f t="shared" si="55"/>
        <v>441.09069877412969</v>
      </c>
      <c r="N44" s="40">
        <f t="shared" si="17"/>
        <v>272.03589419215024</v>
      </c>
      <c r="O44" s="32">
        <f t="shared" si="18"/>
        <v>610.8144559592846</v>
      </c>
      <c r="P44" s="32">
        <f t="shared" si="19"/>
        <v>12.910593912866513</v>
      </c>
      <c r="Q44" s="33">
        <f t="shared" si="20"/>
        <v>19.81314225699651</v>
      </c>
      <c r="R44" s="33">
        <f t="shared" si="21"/>
        <v>12.971091255085106</v>
      </c>
      <c r="S44" s="39">
        <f t="shared" si="22"/>
        <v>536.57886658505504</v>
      </c>
      <c r="T44" s="36">
        <f t="shared" si="23"/>
        <v>605.62049662913375</v>
      </c>
      <c r="U44" s="36">
        <f t="shared" si="24"/>
        <v>9.9002319915308519</v>
      </c>
      <c r="V44" s="37">
        <f t="shared" si="25"/>
        <v>25.618014407390856</v>
      </c>
      <c r="W44" s="40">
        <f t="shared" si="3"/>
        <v>696.96704139405369</v>
      </c>
      <c r="X44" s="32">
        <f t="shared" si="26"/>
        <v>624.02921096894329</v>
      </c>
      <c r="Y44" s="32">
        <f t="shared" si="27"/>
        <v>14.893873526601107</v>
      </c>
      <c r="Z44" s="33">
        <f t="shared" si="28"/>
        <v>17.546379976386465</v>
      </c>
      <c r="AA44" s="33">
        <f t="shared" si="29"/>
        <v>11.292826772021627</v>
      </c>
      <c r="AB44" s="39">
        <f t="shared" si="30"/>
        <v>457.26093763126084</v>
      </c>
      <c r="AC44" s="36">
        <f t="shared" si="31"/>
        <v>692.74917386113111</v>
      </c>
      <c r="AD44" s="36">
        <f t="shared" si="32"/>
        <v>18.684762582532912</v>
      </c>
      <c r="AE44" s="37">
        <f t="shared" si="33"/>
        <v>15.526683657605938</v>
      </c>
      <c r="AF44" s="40">
        <f t="shared" si="4"/>
        <v>474.35492002612972</v>
      </c>
      <c r="AG44" s="32">
        <f t="shared" si="34"/>
        <v>612.12403004205009</v>
      </c>
      <c r="AH44" s="32">
        <f t="shared" si="35"/>
        <v>13.232083136473285</v>
      </c>
      <c r="AI44" s="33">
        <f t="shared" si="36"/>
        <v>19.373205268460147</v>
      </c>
      <c r="AJ44" s="33">
        <f t="shared" si="37"/>
        <v>12.559391167893452</v>
      </c>
      <c r="AK44" s="39">
        <f t="shared" si="5"/>
        <v>518.43643310814821</v>
      </c>
      <c r="AL44" s="36">
        <f t="shared" si="38"/>
        <v>613.85943899478821</v>
      </c>
      <c r="AM44" s="36">
        <f t="shared" si="39"/>
        <v>13.57830632437015</v>
      </c>
      <c r="AN44" s="37">
        <f t="shared" si="40"/>
        <v>18.932745985695909</v>
      </c>
      <c r="AO44" s="40">
        <f t="shared" si="6"/>
        <v>591.12311149848142</v>
      </c>
      <c r="AP44" s="32">
        <f t="shared" si="56"/>
        <v>620.35609012859936</v>
      </c>
      <c r="AQ44" s="32">
        <f t="shared" si="41"/>
        <v>14.501340727069691</v>
      </c>
      <c r="AR44" s="33">
        <f t="shared" si="42"/>
        <v>17.915262056931248</v>
      </c>
      <c r="AS44" s="33">
        <f t="shared" si="43"/>
        <v>11.496421515315511</v>
      </c>
      <c r="AT44" s="39">
        <f t="shared" si="7"/>
        <v>468.26099600248801</v>
      </c>
      <c r="AU44" s="36">
        <f t="shared" si="44"/>
        <v>639.37347486705914</v>
      </c>
      <c r="AV44" s="36">
        <f t="shared" si="45"/>
        <v>16.118406123928725</v>
      </c>
      <c r="AW44" s="37">
        <f t="shared" si="46"/>
        <v>16.61203329923309</v>
      </c>
      <c r="AX44" s="40">
        <f t="shared" si="8"/>
        <v>531.61454532192965</v>
      </c>
      <c r="AY44" s="2">
        <f t="shared" si="57"/>
        <v>18.917183363587522</v>
      </c>
      <c r="AZ44" s="2">
        <f t="shared" si="47"/>
        <v>495.134308331738</v>
      </c>
      <c r="BA44" s="2">
        <f t="shared" si="48"/>
        <v>573.51490456014858</v>
      </c>
      <c r="BB44" s="44">
        <f t="shared" si="60"/>
        <v>573.51490456014858</v>
      </c>
      <c r="BC44">
        <f t="shared" si="49"/>
        <v>132</v>
      </c>
      <c r="BD44" s="2">
        <f t="shared" si="50"/>
        <v>84.602865554965945</v>
      </c>
      <c r="BE44" s="2">
        <f t="shared" si="51"/>
        <v>458.81192364811886</v>
      </c>
      <c r="BF44" s="2">
        <f t="shared" si="62"/>
        <v>38.903334920702981</v>
      </c>
      <c r="BG44" s="24">
        <f t="shared" si="61"/>
        <v>0.45983471913758917</v>
      </c>
    </row>
    <row r="45" spans="1:59" x14ac:dyDescent="0.25">
      <c r="A45">
        <f t="shared" si="11"/>
        <v>138</v>
      </c>
      <c r="B45">
        <v>2.2999999999999998</v>
      </c>
      <c r="C45" s="2">
        <f t="shared" si="58"/>
        <v>573.51490456014858</v>
      </c>
      <c r="D45" s="2">
        <f t="shared" si="12"/>
        <v>15.715813035210187</v>
      </c>
      <c r="E45" s="2">
        <f t="shared" si="13"/>
        <v>633.65312627432797</v>
      </c>
      <c r="F45" s="25">
        <f t="shared" si="14"/>
        <v>30.503059520992203</v>
      </c>
      <c r="G45">
        <f t="shared" si="15"/>
        <v>5.2939107378614852E-5</v>
      </c>
      <c r="H45">
        <f t="shared" si="16"/>
        <v>1.5478359509430028E-4</v>
      </c>
      <c r="I45" s="51">
        <f t="shared" si="59"/>
        <v>8.3106823698530811E-5</v>
      </c>
      <c r="J45" s="28">
        <f t="shared" si="52"/>
        <v>0.15290225467737595</v>
      </c>
      <c r="K45" s="24">
        <f t="shared" si="53"/>
        <v>17.340506018360799</v>
      </c>
      <c r="L45" s="33">
        <f t="shared" si="54"/>
        <v>11.189407845367022</v>
      </c>
      <c r="M45" s="39">
        <f t="shared" si="55"/>
        <v>447.31984388357108</v>
      </c>
      <c r="N45" s="40">
        <f t="shared" si="17"/>
        <v>274.71708286563558</v>
      </c>
      <c r="O45" s="32">
        <f t="shared" si="18"/>
        <v>611.28356880701153</v>
      </c>
      <c r="P45" s="32">
        <f t="shared" si="19"/>
        <v>13.033745345535319</v>
      </c>
      <c r="Q45" s="33">
        <f t="shared" si="20"/>
        <v>20.170679509653386</v>
      </c>
      <c r="R45" s="33">
        <f t="shared" si="21"/>
        <v>13.340126947889253</v>
      </c>
      <c r="S45" s="39">
        <f t="shared" si="22"/>
        <v>552.81508194369144</v>
      </c>
      <c r="T45" s="36">
        <f t="shared" si="23"/>
        <v>605.72106656005485</v>
      </c>
      <c r="U45" s="36">
        <f t="shared" si="24"/>
        <v>9.9429798806644314</v>
      </c>
      <c r="V45" s="37">
        <f t="shared" si="25"/>
        <v>26.200112491693549</v>
      </c>
      <c r="W45" s="40">
        <f t="shared" si="3"/>
        <v>706.50503309452904</v>
      </c>
      <c r="X45" s="32">
        <f t="shared" si="26"/>
        <v>627.88540070756653</v>
      </c>
      <c r="Y45" s="32">
        <f t="shared" si="27"/>
        <v>15.251414670720445</v>
      </c>
      <c r="Z45" s="33">
        <f t="shared" si="28"/>
        <v>17.705870934271783</v>
      </c>
      <c r="AA45" s="33">
        <f t="shared" si="29"/>
        <v>11.377908317490256</v>
      </c>
      <c r="AB45" s="39">
        <f t="shared" si="30"/>
        <v>459.03382366873518</v>
      </c>
      <c r="AC45" s="36">
        <f t="shared" si="31"/>
        <v>699.40875115476501</v>
      </c>
      <c r="AD45" s="36">
        <f t="shared" si="32"/>
        <v>18.928352277012774</v>
      </c>
      <c r="AE45" s="37">
        <f t="shared" si="33"/>
        <v>15.891514561631713</v>
      </c>
      <c r="AF45" s="40">
        <f t="shared" si="4"/>
        <v>476.52747268356308</v>
      </c>
      <c r="AG45" s="32">
        <f t="shared" si="34"/>
        <v>612.28641468701994</v>
      </c>
      <c r="AH45" s="32">
        <f t="shared" si="35"/>
        <v>13.267687122672703</v>
      </c>
      <c r="AI45" s="33">
        <f t="shared" si="36"/>
        <v>19.847528774455441</v>
      </c>
      <c r="AJ45" s="33">
        <f t="shared" si="37"/>
        <v>13.005213409245734</v>
      </c>
      <c r="AK45" s="39">
        <f t="shared" si="5"/>
        <v>538.05355152678396</v>
      </c>
      <c r="AL45" s="36">
        <f t="shared" si="38"/>
        <v>614.10837637306872</v>
      </c>
      <c r="AM45" s="36">
        <f t="shared" si="39"/>
        <v>13.622778222641051</v>
      </c>
      <c r="AN45" s="37">
        <f t="shared" si="40"/>
        <v>19.387703662048168</v>
      </c>
      <c r="AO45" s="40">
        <f t="shared" si="6"/>
        <v>599.45215500898155</v>
      </c>
      <c r="AP45" s="32">
        <f t="shared" si="56"/>
        <v>624.35653575632978</v>
      </c>
      <c r="AQ45" s="32">
        <f t="shared" si="41"/>
        <v>14.926104068271577</v>
      </c>
      <c r="AR45" s="33">
        <f t="shared" si="42"/>
        <v>17.990085823956093</v>
      </c>
      <c r="AS45" s="33">
        <f t="shared" si="43"/>
        <v>11.540696226771004</v>
      </c>
      <c r="AT45" s="39">
        <f t="shared" si="7"/>
        <v>468.23296942210311</v>
      </c>
      <c r="AU45" s="36">
        <f t="shared" si="44"/>
        <v>642.35726337697315</v>
      </c>
      <c r="AV45" s="36">
        <f t="shared" si="45"/>
        <v>16.311260487011218</v>
      </c>
      <c r="AW45" s="37">
        <f t="shared" si="46"/>
        <v>16.936986996591074</v>
      </c>
      <c r="AX45" s="40">
        <f t="shared" si="8"/>
        <v>535.64591636250168</v>
      </c>
      <c r="AY45" s="2">
        <f t="shared" si="57"/>
        <v>19.26631034428765</v>
      </c>
      <c r="AZ45" s="2">
        <f t="shared" si="47"/>
        <v>504.53385664032839</v>
      </c>
      <c r="BA45" s="2">
        <f t="shared" si="48"/>
        <v>579.53264428739385</v>
      </c>
      <c r="BB45" s="44">
        <f t="shared" si="60"/>
        <v>579.53264428739385</v>
      </c>
      <c r="BC45">
        <f t="shared" si="49"/>
        <v>138</v>
      </c>
      <c r="BD45" s="2">
        <f t="shared" si="50"/>
        <v>83.106823698530818</v>
      </c>
      <c r="BE45" s="2">
        <f t="shared" si="51"/>
        <v>463.6261154299151</v>
      </c>
      <c r="BF45" s="2">
        <f t="shared" si="62"/>
        <v>37.867567125295977</v>
      </c>
      <c r="BG45" s="24">
        <f t="shared" si="61"/>
        <v>0.45564931301742684</v>
      </c>
    </row>
    <row r="46" spans="1:59" x14ac:dyDescent="0.25">
      <c r="A46">
        <f t="shared" si="11"/>
        <v>144</v>
      </c>
      <c r="B46">
        <v>2.4</v>
      </c>
      <c r="C46" s="2">
        <f t="shared" si="58"/>
        <v>579.53264428739385</v>
      </c>
      <c r="D46" s="2">
        <f t="shared" si="12"/>
        <v>15.852621127803285</v>
      </c>
      <c r="E46" s="2">
        <f t="shared" si="13"/>
        <v>635.52073715527376</v>
      </c>
      <c r="F46" s="25">
        <f t="shared" si="14"/>
        <v>31.647595967347765</v>
      </c>
      <c r="G46">
        <f t="shared" si="15"/>
        <v>5.1973019937369469E-5</v>
      </c>
      <c r="H46">
        <f t="shared" si="16"/>
        <v>1.5195894438264473E-4</v>
      </c>
      <c r="I46" s="51">
        <f t="shared" si="59"/>
        <v>8.1694498342703035E-5</v>
      </c>
      <c r="J46" s="28">
        <f t="shared" si="52"/>
        <v>0.15066589653431695</v>
      </c>
      <c r="K46" s="24">
        <f t="shared" si="53"/>
        <v>17.685413402899407</v>
      </c>
      <c r="L46" s="33">
        <f t="shared" si="54"/>
        <v>11.366747707282222</v>
      </c>
      <c r="M46" s="39">
        <f t="shared" si="55"/>
        <v>454.16543834590641</v>
      </c>
      <c r="N46" s="40">
        <f t="shared" si="17"/>
        <v>277.28679698416801</v>
      </c>
      <c r="O46" s="32">
        <f t="shared" si="18"/>
        <v>611.84974806332639</v>
      </c>
      <c r="P46" s="32">
        <f t="shared" si="19"/>
        <v>13.17008655290161</v>
      </c>
      <c r="Q46" s="33">
        <f t="shared" si="20"/>
        <v>20.494754787917675</v>
      </c>
      <c r="R46" s="33">
        <f t="shared" si="21"/>
        <v>13.70261664741075</v>
      </c>
      <c r="S46" s="39">
        <f t="shared" si="22"/>
        <v>568.67784567308297</v>
      </c>
      <c r="T46" s="36">
        <f t="shared" si="23"/>
        <v>605.81312524301484</v>
      </c>
      <c r="U46" s="36">
        <f t="shared" si="24"/>
        <v>9.9841015855400101</v>
      </c>
      <c r="V46" s="37">
        <f t="shared" si="25"/>
        <v>26.768020560837709</v>
      </c>
      <c r="W46" s="40">
        <f t="shared" si="3"/>
        <v>715.73252830275794</v>
      </c>
      <c r="X46" s="32">
        <f t="shared" si="26"/>
        <v>632.21569007551341</v>
      </c>
      <c r="Y46" s="32">
        <f t="shared" si="27"/>
        <v>15.606434756694718</v>
      </c>
      <c r="Z46" s="33">
        <f t="shared" si="28"/>
        <v>17.87097053437687</v>
      </c>
      <c r="AA46" s="33">
        <f t="shared" si="29"/>
        <v>11.470695554521857</v>
      </c>
      <c r="AB46" s="39">
        <f t="shared" si="30"/>
        <v>460.7147012851475</v>
      </c>
      <c r="AC46" s="36">
        <f t="shared" si="31"/>
        <v>706.17946922464944</v>
      </c>
      <c r="AD46" s="36">
        <f t="shared" si="32"/>
        <v>19.165951611124456</v>
      </c>
      <c r="AE46" s="37">
        <f t="shared" si="33"/>
        <v>16.254412235998146</v>
      </c>
      <c r="AF46" s="40">
        <f t="shared" si="4"/>
        <v>478.46684912687812</v>
      </c>
      <c r="AG46" s="32">
        <f t="shared" si="34"/>
        <v>612.44399849308627</v>
      </c>
      <c r="AH46" s="32">
        <f t="shared" si="35"/>
        <v>13.301508369599091</v>
      </c>
      <c r="AI46" s="33">
        <f t="shared" si="36"/>
        <v>20.311970693858928</v>
      </c>
      <c r="AJ46" s="33">
        <f t="shared" si="37"/>
        <v>13.494825562907813</v>
      </c>
      <c r="AK46" s="39">
        <f t="shared" si="5"/>
        <v>559.51080670798274</v>
      </c>
      <c r="AL46" s="36">
        <f t="shared" si="38"/>
        <v>614.33629108699824</v>
      </c>
      <c r="AM46" s="36">
        <f t="shared" si="39"/>
        <v>13.662566346416055</v>
      </c>
      <c r="AN46" s="37">
        <f t="shared" si="40"/>
        <v>19.836290397013538</v>
      </c>
      <c r="AO46" s="40">
        <f t="shared" si="6"/>
        <v>607.58264805162958</v>
      </c>
      <c r="AP46" s="32">
        <f t="shared" si="56"/>
        <v>629.64297971675842</v>
      </c>
      <c r="AQ46" s="32">
        <f t="shared" si="41"/>
        <v>15.400582361490189</v>
      </c>
      <c r="AR46" s="33">
        <f t="shared" si="42"/>
        <v>18.036148065061575</v>
      </c>
      <c r="AS46" s="33">
        <f t="shared" si="43"/>
        <v>11.568465965784831</v>
      </c>
      <c r="AT46" s="39">
        <f t="shared" si="7"/>
        <v>466.54011810787131</v>
      </c>
      <c r="AU46" s="36">
        <f t="shared" si="44"/>
        <v>645.44989676808723</v>
      </c>
      <c r="AV46" s="36">
        <f t="shared" si="45"/>
        <v>16.501016355057423</v>
      </c>
      <c r="AW46" s="37">
        <f t="shared" si="46"/>
        <v>17.255931616027308</v>
      </c>
      <c r="AX46" s="40">
        <f t="shared" si="8"/>
        <v>539.37147504745235</v>
      </c>
      <c r="AY46" s="2">
        <f t="shared" si="57"/>
        <v>19.603562361386469</v>
      </c>
      <c r="AZ46" s="2">
        <f t="shared" si="47"/>
        <v>513.86086794352116</v>
      </c>
      <c r="BA46" s="2">
        <f t="shared" si="48"/>
        <v>585.28837513217945</v>
      </c>
      <c r="BB46" s="44">
        <f t="shared" si="60"/>
        <v>585.28837513217945</v>
      </c>
      <c r="BC46">
        <f t="shared" si="49"/>
        <v>144</v>
      </c>
      <c r="BD46" s="2">
        <f t="shared" si="50"/>
        <v>81.694498342703042</v>
      </c>
      <c r="BE46" s="2">
        <f t="shared" si="51"/>
        <v>468.23070010574361</v>
      </c>
      <c r="BF46" s="2">
        <f t="shared" si="62"/>
        <v>36.902459021870463</v>
      </c>
      <c r="BG46" s="24">
        <f t="shared" si="61"/>
        <v>0.4517129032002507</v>
      </c>
    </row>
    <row r="47" spans="1:59" x14ac:dyDescent="0.25">
      <c r="A47">
        <f t="shared" si="11"/>
        <v>150</v>
      </c>
      <c r="B47">
        <v>2.5</v>
      </c>
      <c r="C47" s="2">
        <f t="shared" si="58"/>
        <v>585.28837513217945</v>
      </c>
      <c r="D47" s="2">
        <f t="shared" si="12"/>
        <v>15.984231642924511</v>
      </c>
      <c r="E47" s="2">
        <f t="shared" si="13"/>
        <v>637.3912349574648</v>
      </c>
      <c r="F47" s="25">
        <f t="shared" si="14"/>
        <v>32.791038324577883</v>
      </c>
      <c r="G47">
        <f t="shared" si="15"/>
        <v>5.1058814966929144E-5</v>
      </c>
      <c r="H47">
        <f t="shared" si="16"/>
        <v>1.4928598786742033E-4</v>
      </c>
      <c r="I47" s="51">
        <f t="shared" si="59"/>
        <v>8.0358020085090836E-5</v>
      </c>
      <c r="J47" s="28">
        <f t="shared" si="52"/>
        <v>0.14854197120963916</v>
      </c>
      <c r="K47" s="24">
        <f t="shared" si="53"/>
        <v>18.024618309969252</v>
      </c>
      <c r="L47" s="33">
        <f t="shared" si="54"/>
        <v>11.561478005811981</v>
      </c>
      <c r="M47" s="39">
        <f t="shared" si="55"/>
        <v>461.64981169193271</v>
      </c>
      <c r="N47" s="40">
        <f t="shared" si="17"/>
        <v>279.75384606060942</v>
      </c>
      <c r="O47" s="32">
        <f t="shared" si="18"/>
        <v>612.53321243442417</v>
      </c>
      <c r="P47" s="32">
        <f t="shared" si="19"/>
        <v>13.320351295528987</v>
      </c>
      <c r="Q47" s="33">
        <f t="shared" si="20"/>
        <v>20.785750871910626</v>
      </c>
      <c r="R47" s="33">
        <f t="shared" si="21"/>
        <v>14.051704646493832</v>
      </c>
      <c r="S47" s="39">
        <f t="shared" si="22"/>
        <v>583.85467691159295</v>
      </c>
      <c r="T47" s="36">
        <f t="shared" si="23"/>
        <v>605.89768261241011</v>
      </c>
      <c r="U47" s="36">
        <f t="shared" si="24"/>
        <v>10.023719569435061</v>
      </c>
      <c r="V47" s="37">
        <f t="shared" si="25"/>
        <v>27.322607160973735</v>
      </c>
      <c r="W47" s="40">
        <f t="shared" si="3"/>
        <v>724.67100953218096</v>
      </c>
      <c r="X47" s="32">
        <f t="shared" si="26"/>
        <v>636.91750257511796</v>
      </c>
      <c r="Y47" s="32">
        <f t="shared" si="27"/>
        <v>15.951379305289098</v>
      </c>
      <c r="Z47" s="33">
        <f t="shared" si="28"/>
        <v>18.048316401217107</v>
      </c>
      <c r="AA47" s="33">
        <f t="shared" si="29"/>
        <v>11.575867820029011</v>
      </c>
      <c r="AB47" s="39">
        <f t="shared" si="30"/>
        <v>462.5681944981672</v>
      </c>
      <c r="AC47" s="36">
        <f t="shared" si="31"/>
        <v>713.0533288997342</v>
      </c>
      <c r="AD47" s="36">
        <f t="shared" si="32"/>
        <v>19.39792772063759</v>
      </c>
      <c r="AE47" s="37">
        <f t="shared" si="33"/>
        <v>16.615691858818344</v>
      </c>
      <c r="AF47" s="40">
        <f t="shared" si="4"/>
        <v>480.19353996709975</v>
      </c>
      <c r="AG47" s="32">
        <f t="shared" si="34"/>
        <v>612.62191689770793</v>
      </c>
      <c r="AH47" s="32">
        <f t="shared" si="35"/>
        <v>13.338876217058498</v>
      </c>
      <c r="AI47" s="33">
        <f t="shared" si="36"/>
        <v>20.759889716059988</v>
      </c>
      <c r="AJ47" s="33">
        <f t="shared" si="37"/>
        <v>14.019755464642358</v>
      </c>
      <c r="AK47" s="39">
        <f t="shared" si="5"/>
        <v>582.44282706913634</v>
      </c>
      <c r="AL47" s="36">
        <f t="shared" si="38"/>
        <v>614.54379520052407</v>
      </c>
      <c r="AM47" s="36">
        <f t="shared" si="39"/>
        <v>13.698061923729629</v>
      </c>
      <c r="AN47" s="37">
        <f t="shared" si="40"/>
        <v>20.278950145270453</v>
      </c>
      <c r="AO47" s="40">
        <f t="shared" si="6"/>
        <v>615.52968984357324</v>
      </c>
      <c r="AP47" s="32">
        <f t="shared" si="56"/>
        <v>636.45607245511201</v>
      </c>
      <c r="AQ47" s="32">
        <f t="shared" si="41"/>
        <v>15.919072606026944</v>
      </c>
      <c r="AR47" s="33">
        <f t="shared" si="42"/>
        <v>18.07184218870437</v>
      </c>
      <c r="AS47" s="33">
        <f t="shared" si="43"/>
        <v>11.590256711058089</v>
      </c>
      <c r="AT47" s="39">
        <f t="shared" si="7"/>
        <v>463.47894866448138</v>
      </c>
      <c r="AU47" s="36">
        <f t="shared" si="44"/>
        <v>648.64991235002321</v>
      </c>
      <c r="AV47" s="36">
        <f t="shared" si="45"/>
        <v>16.687921703947858</v>
      </c>
      <c r="AW47" s="37">
        <f t="shared" si="46"/>
        <v>17.56951870961413</v>
      </c>
      <c r="AX47" s="40">
        <f t="shared" si="8"/>
        <v>542.81104854775856</v>
      </c>
      <c r="AY47" s="2">
        <f t="shared" si="57"/>
        <v>19.931570881571098</v>
      </c>
      <c r="AZ47" s="2">
        <f t="shared" si="47"/>
        <v>523.08616178584452</v>
      </c>
      <c r="BA47" s="2">
        <f t="shared" si="48"/>
        <v>590.80132197265311</v>
      </c>
      <c r="BB47" s="44">
        <f t="shared" si="60"/>
        <v>590.80132197265311</v>
      </c>
      <c r="BC47">
        <f t="shared" si="49"/>
        <v>150</v>
      </c>
      <c r="BD47" s="2">
        <f t="shared" si="50"/>
        <v>80.358020085090843</v>
      </c>
      <c r="BE47" s="2">
        <f t="shared" si="51"/>
        <v>472.64105757812251</v>
      </c>
      <c r="BF47" s="2">
        <f t="shared" si="62"/>
        <v>35.998836072162106</v>
      </c>
      <c r="BG47" s="24">
        <f t="shared" si="61"/>
        <v>0.44798062513291215</v>
      </c>
    </row>
    <row r="48" spans="1:59" x14ac:dyDescent="0.25">
      <c r="A48">
        <f t="shared" si="11"/>
        <v>156</v>
      </c>
      <c r="B48">
        <v>2.6</v>
      </c>
      <c r="C48" s="2">
        <f t="shared" si="58"/>
        <v>590.80132197265311</v>
      </c>
      <c r="D48" s="2">
        <f t="shared" si="12"/>
        <v>16.110986444671362</v>
      </c>
      <c r="E48" s="2">
        <f t="shared" si="13"/>
        <v>639.26186113810559</v>
      </c>
      <c r="F48" s="25">
        <f t="shared" si="14"/>
        <v>33.933671274240403</v>
      </c>
      <c r="G48">
        <f t="shared" si="15"/>
        <v>5.0191813908406222E-5</v>
      </c>
      <c r="H48">
        <f t="shared" si="16"/>
        <v>1.4675104635756495E-4</v>
      </c>
      <c r="I48" s="51">
        <f t="shared" si="59"/>
        <v>7.9090549330163148E-5</v>
      </c>
      <c r="J48" s="28">
        <f t="shared" si="52"/>
        <v>0.1465206751012044</v>
      </c>
      <c r="K48" s="24">
        <f t="shared" si="53"/>
        <v>18.358496907106019</v>
      </c>
      <c r="L48" s="33">
        <f t="shared" si="54"/>
        <v>11.77403707766257</v>
      </c>
      <c r="M48" s="39">
        <f t="shared" si="55"/>
        <v>469.79280442200388</v>
      </c>
      <c r="N48" s="40">
        <f t="shared" si="17"/>
        <v>282.12608606208096</v>
      </c>
      <c r="O48" s="32">
        <f t="shared" si="18"/>
        <v>613.35818577524742</v>
      </c>
      <c r="P48" s="32">
        <f t="shared" si="19"/>
        <v>13.485264465195019</v>
      </c>
      <c r="Q48" s="33">
        <f t="shared" si="20"/>
        <v>21.044332534210181</v>
      </c>
      <c r="R48" s="33">
        <f t="shared" si="21"/>
        <v>14.381298570368322</v>
      </c>
      <c r="S48" s="39">
        <f t="shared" si="22"/>
        <v>598.05853611629868</v>
      </c>
      <c r="T48" s="36">
        <f t="shared" si="23"/>
        <v>605.97560355657447</v>
      </c>
      <c r="U48" s="36">
        <f t="shared" si="24"/>
        <v>10.061943603620772</v>
      </c>
      <c r="V48" s="37">
        <f t="shared" si="25"/>
        <v>27.864658135234755</v>
      </c>
      <c r="W48" s="40">
        <f t="shared" si="3"/>
        <v>733.33969532848482</v>
      </c>
      <c r="X48" s="32">
        <f t="shared" si="26"/>
        <v>641.84517367042372</v>
      </c>
      <c r="Y48" s="32">
        <f t="shared" si="27"/>
        <v>16.27888376602364</v>
      </c>
      <c r="Z48" s="33">
        <f t="shared" si="28"/>
        <v>18.242573961814678</v>
      </c>
      <c r="AA48" s="33">
        <f t="shared" si="29"/>
        <v>11.697813935447684</v>
      </c>
      <c r="AB48" s="39">
        <f t="shared" si="30"/>
        <v>464.8728531121439</v>
      </c>
      <c r="AC48" s="36">
        <f t="shared" si="31"/>
        <v>720.02300402697392</v>
      </c>
      <c r="AD48" s="36">
        <f t="shared" si="32"/>
        <v>19.624611426063844</v>
      </c>
      <c r="AE48" s="37">
        <f t="shared" si="33"/>
        <v>16.975624640027707</v>
      </c>
      <c r="AF48" s="40">
        <f t="shared" si="4"/>
        <v>481.72588583448766</v>
      </c>
      <c r="AG48" s="32">
        <f t="shared" si="34"/>
        <v>612.8493121550739</v>
      </c>
      <c r="AH48" s="32">
        <f t="shared" si="35"/>
        <v>13.385447236640253</v>
      </c>
      <c r="AI48" s="33">
        <f t="shared" si="36"/>
        <v>21.183673522713967</v>
      </c>
      <c r="AJ48" s="33">
        <f t="shared" si="37"/>
        <v>14.566672831139229</v>
      </c>
      <c r="AK48" s="39">
        <f t="shared" si="5"/>
        <v>606.27047574988057</v>
      </c>
      <c r="AL48" s="36">
        <f t="shared" si="38"/>
        <v>614.73160489813245</v>
      </c>
      <c r="AM48" s="36">
        <f t="shared" si="39"/>
        <v>13.729618284624515</v>
      </c>
      <c r="AN48" s="37">
        <f t="shared" si="40"/>
        <v>20.716077970081333</v>
      </c>
      <c r="AO48" s="40">
        <f t="shared" si="6"/>
        <v>623.30656438963877</v>
      </c>
      <c r="AP48" s="32">
        <f t="shared" si="56"/>
        <v>644.93851583667288</v>
      </c>
      <c r="AQ48" s="32">
        <f t="shared" si="41"/>
        <v>16.47029163724288</v>
      </c>
      <c r="AR48" s="33">
        <f t="shared" si="42"/>
        <v>18.117467155846434</v>
      </c>
      <c r="AS48" s="33">
        <f t="shared" si="43"/>
        <v>11.618457989222094</v>
      </c>
      <c r="AT48" s="39">
        <f t="shared" si="7"/>
        <v>459.50467525040125</v>
      </c>
      <c r="AU48" s="36">
        <f t="shared" si="44"/>
        <v>651.95595086113099</v>
      </c>
      <c r="AV48" s="36">
        <f t="shared" si="45"/>
        <v>16.872194482271858</v>
      </c>
      <c r="AW48" s="37">
        <f t="shared" si="46"/>
        <v>17.878337813679337</v>
      </c>
      <c r="AX48" s="40">
        <f t="shared" si="8"/>
        <v>545.98258432590978</v>
      </c>
      <c r="AY48" s="2">
        <f t="shared" si="57"/>
        <v>20.252843216701049</v>
      </c>
      <c r="AZ48" s="2">
        <f t="shared" si="47"/>
        <v>532.1766350571811</v>
      </c>
      <c r="BA48" s="2">
        <f t="shared" si="48"/>
        <v>596.08868246963016</v>
      </c>
      <c r="BB48" s="44">
        <f t="shared" si="60"/>
        <v>596.08868246963016</v>
      </c>
      <c r="BC48">
        <f t="shared" si="49"/>
        <v>156</v>
      </c>
      <c r="BD48" s="2">
        <f t="shared" si="50"/>
        <v>79.090549330163142</v>
      </c>
      <c r="BE48" s="2">
        <f t="shared" si="51"/>
        <v>476.87094597570416</v>
      </c>
      <c r="BF48" s="2">
        <f t="shared" si="62"/>
        <v>35.148887791254154</v>
      </c>
      <c r="BG48" s="24">
        <f t="shared" si="61"/>
        <v>0.44441324644901986</v>
      </c>
    </row>
    <row r="49" spans="1:59" x14ac:dyDescent="0.25">
      <c r="A49">
        <f t="shared" si="11"/>
        <v>162</v>
      </c>
      <c r="B49">
        <v>2.7</v>
      </c>
      <c r="C49" s="2">
        <f t="shared" si="58"/>
        <v>596.08868246963016</v>
      </c>
      <c r="D49" s="2">
        <f t="shared" si="12"/>
        <v>16.23319409637762</v>
      </c>
      <c r="E49" s="2">
        <f t="shared" si="13"/>
        <v>641.13020338830938</v>
      </c>
      <c r="F49" s="25">
        <f t="shared" si="14"/>
        <v>35.075741222231599</v>
      </c>
      <c r="G49">
        <f t="shared" si="15"/>
        <v>4.9367926485206388E-5</v>
      </c>
      <c r="H49">
        <f t="shared" si="16"/>
        <v>1.4434216068437425E-4</v>
      </c>
      <c r="I49" s="51">
        <f t="shared" si="59"/>
        <v>7.7886106493567795E-5</v>
      </c>
      <c r="J49" s="28">
        <f t="shared" si="52"/>
        <v>0.14459341249040392</v>
      </c>
      <c r="K49" s="24">
        <f t="shared" si="53"/>
        <v>18.687384942872182</v>
      </c>
      <c r="L49" s="33">
        <f t="shared" si="54"/>
        <v>12.004828918496841</v>
      </c>
      <c r="M49" s="39">
        <f t="shared" si="55"/>
        <v>478.6121166732031</v>
      </c>
      <c r="N49" s="40">
        <f t="shared" si="17"/>
        <v>284.41054975386669</v>
      </c>
      <c r="O49" s="32">
        <f t="shared" si="18"/>
        <v>614.35358135135357</v>
      </c>
      <c r="P49" s="32">
        <f t="shared" si="19"/>
        <v>13.665550037866577</v>
      </c>
      <c r="Q49" s="33">
        <f t="shared" si="20"/>
        <v>21.271472469104982</v>
      </c>
      <c r="R49" s="33">
        <f t="shared" si="21"/>
        <v>14.686322069072141</v>
      </c>
      <c r="S49" s="39">
        <f t="shared" si="22"/>
        <v>611.03854139777764</v>
      </c>
      <c r="T49" s="36">
        <f t="shared" si="23"/>
        <v>606.0476324064382</v>
      </c>
      <c r="U49" s="36">
        <f t="shared" si="24"/>
        <v>10.098872439669494</v>
      </c>
      <c r="V49" s="37">
        <f t="shared" si="25"/>
        <v>28.394887263167888</v>
      </c>
      <c r="W49" s="40">
        <f t="shared" si="3"/>
        <v>741.75585628119904</v>
      </c>
      <c r="X49" s="32">
        <f t="shared" si="26"/>
        <v>646.81964415408379</v>
      </c>
      <c r="Y49" s="32">
        <f t="shared" si="27"/>
        <v>16.582121186149642</v>
      </c>
      <c r="Z49" s="33">
        <f t="shared" si="28"/>
        <v>18.456501943335965</v>
      </c>
      <c r="AA49" s="33">
        <f t="shared" si="29"/>
        <v>11.840536492723615</v>
      </c>
      <c r="AB49" s="39">
        <f t="shared" si="30"/>
        <v>467.90978808176368</v>
      </c>
      <c r="AC49" s="36">
        <f t="shared" si="31"/>
        <v>727.08176915728279</v>
      </c>
      <c r="AD49" s="36">
        <f t="shared" si="32"/>
        <v>19.846302112348869</v>
      </c>
      <c r="AE49" s="37">
        <f t="shared" si="33"/>
        <v>17.334444687622323</v>
      </c>
      <c r="AF49" s="40">
        <f t="shared" si="4"/>
        <v>483.08035844838969</v>
      </c>
      <c r="AG49" s="32">
        <f t="shared" si="34"/>
        <v>613.15960189151565</v>
      </c>
      <c r="AH49" s="32">
        <f t="shared" si="35"/>
        <v>13.446997300529395</v>
      </c>
      <c r="AI49" s="33">
        <f t="shared" si="36"/>
        <v>21.57518320801784</v>
      </c>
      <c r="AJ49" s="33">
        <f t="shared" si="37"/>
        <v>15.117501736400996</v>
      </c>
      <c r="AK49" s="39">
        <f t="shared" si="5"/>
        <v>630.20296807803891</v>
      </c>
      <c r="AL49" s="36">
        <f t="shared" si="38"/>
        <v>614.90051102378095</v>
      </c>
      <c r="AM49" s="36">
        <f t="shared" si="39"/>
        <v>13.757555406411784</v>
      </c>
      <c r="AN49" s="37">
        <f t="shared" si="40"/>
        <v>21.148027175891237</v>
      </c>
      <c r="AO49" s="40">
        <f t="shared" si="6"/>
        <v>630.92501155750074</v>
      </c>
      <c r="AP49" s="32">
        <f t="shared" si="56"/>
        <v>655.03604561173654</v>
      </c>
      <c r="AQ49" s="32">
        <f t="shared" si="41"/>
        <v>17.036737893439284</v>
      </c>
      <c r="AR49" s="33">
        <f t="shared" si="42"/>
        <v>18.192192115230252</v>
      </c>
      <c r="AS49" s="33">
        <f t="shared" si="43"/>
        <v>11.665496948590981</v>
      </c>
      <c r="AT49" s="39">
        <f t="shared" si="7"/>
        <v>455.21021156815056</v>
      </c>
      <c r="AU49" s="36">
        <f t="shared" si="44"/>
        <v>655.36673644738892</v>
      </c>
      <c r="AV49" s="36">
        <f t="shared" si="45"/>
        <v>17.054026959833582</v>
      </c>
      <c r="AW49" s="37">
        <f t="shared" si="46"/>
        <v>18.182924100629666</v>
      </c>
      <c r="AX49" s="40">
        <f t="shared" si="8"/>
        <v>548.90240880114209</v>
      </c>
      <c r="AY49" s="2">
        <f t="shared" si="57"/>
        <v>20.569454120375021</v>
      </c>
      <c r="AZ49" s="2">
        <f t="shared" si="47"/>
        <v>541.09037728143267</v>
      </c>
      <c r="BA49" s="2">
        <f t="shared" si="48"/>
        <v>601.16590877205795</v>
      </c>
      <c r="BB49" s="44">
        <f t="shared" si="60"/>
        <v>601.16590877205795</v>
      </c>
      <c r="BC49">
        <f t="shared" si="49"/>
        <v>162</v>
      </c>
      <c r="BD49" s="2">
        <f t="shared" si="50"/>
        <v>77.886106493567794</v>
      </c>
      <c r="BE49" s="2">
        <f t="shared" si="51"/>
        <v>480.93272701764636</v>
      </c>
      <c r="BF49" s="2">
        <f t="shared" si="62"/>
        <v>34.346193045992841</v>
      </c>
      <c r="BG49" s="24">
        <f t="shared" si="61"/>
        <v>0.44097971502567423</v>
      </c>
    </row>
    <row r="50" spans="1:59" x14ac:dyDescent="0.25">
      <c r="A50">
        <f t="shared" si="11"/>
        <v>168</v>
      </c>
      <c r="B50">
        <v>2.8</v>
      </c>
      <c r="C50" s="2">
        <f t="shared" si="58"/>
        <v>601.16590877205795</v>
      </c>
      <c r="D50" s="2">
        <f t="shared" si="12"/>
        <v>16.351134262682635</v>
      </c>
      <c r="E50" s="2">
        <f t="shared" si="13"/>
        <v>642.99415407752804</v>
      </c>
      <c r="F50" s="25">
        <f t="shared" si="14"/>
        <v>36.217461653251249</v>
      </c>
      <c r="G50">
        <f t="shared" si="15"/>
        <v>4.8583557310073902E-5</v>
      </c>
      <c r="H50">
        <f t="shared" si="16"/>
        <v>1.420488186387696E-4</v>
      </c>
      <c r="I50" s="51">
        <f t="shared" si="59"/>
        <v>7.6739435470765471E-5</v>
      </c>
      <c r="J50" s="28">
        <f t="shared" si="52"/>
        <v>0.14275260652788338</v>
      </c>
      <c r="K50" s="24">
        <f t="shared" si="53"/>
        <v>19.011583410296318</v>
      </c>
      <c r="L50" s="33">
        <f t="shared" si="54"/>
        <v>12.254227612307218</v>
      </c>
      <c r="M50" s="39">
        <f t="shared" si="55"/>
        <v>488.12359636991459</v>
      </c>
      <c r="N50" s="40">
        <f t="shared" si="17"/>
        <v>286.61355530317428</v>
      </c>
      <c r="O50" s="32">
        <f t="shared" si="18"/>
        <v>615.55375981661575</v>
      </c>
      <c r="P50" s="32">
        <f t="shared" si="19"/>
        <v>13.861937744083274</v>
      </c>
      <c r="Q50" s="33">
        <f t="shared" si="20"/>
        <v>21.468474904780095</v>
      </c>
      <c r="R50" s="33">
        <f t="shared" si="21"/>
        <v>14.962918462106863</v>
      </c>
      <c r="S50" s="39">
        <f t="shared" si="22"/>
        <v>622.58865861918741</v>
      </c>
      <c r="T50" s="36">
        <f t="shared" si="23"/>
        <v>606.11441268837871</v>
      </c>
      <c r="U50" s="36">
        <f t="shared" si="24"/>
        <v>10.134595210012661</v>
      </c>
      <c r="V50" s="37">
        <f t="shared" si="25"/>
        <v>28.913945199411533</v>
      </c>
      <c r="W50" s="40">
        <f t="shared" si="3"/>
        <v>749.9350769949217</v>
      </c>
      <c r="X50" s="32">
        <f t="shared" si="26"/>
        <v>651.64339737278522</v>
      </c>
      <c r="Y50" s="32">
        <f t="shared" si="27"/>
        <v>16.855126971462298</v>
      </c>
      <c r="Z50" s="33">
        <f t="shared" si="28"/>
        <v>18.69119723168096</v>
      </c>
      <c r="AA50" s="33">
        <f t="shared" si="29"/>
        <v>12.007633165096919</v>
      </c>
      <c r="AB50" s="39">
        <f t="shared" si="30"/>
        <v>471.95250608916189</v>
      </c>
      <c r="AC50" s="36">
        <f t="shared" si="31"/>
        <v>734.22343687338946</v>
      </c>
      <c r="AD50" s="36">
        <f t="shared" si="32"/>
        <v>20.063271796812778</v>
      </c>
      <c r="AE50" s="37">
        <f t="shared" si="33"/>
        <v>17.692354643938227</v>
      </c>
      <c r="AF50" s="40">
        <f t="shared" si="4"/>
        <v>484.27179618716303</v>
      </c>
      <c r="AG50" s="32">
        <f t="shared" si="34"/>
        <v>613.59189061645588</v>
      </c>
      <c r="AH50" s="32">
        <f t="shared" si="35"/>
        <v>13.529252291438583</v>
      </c>
      <c r="AI50" s="33">
        <f t="shared" si="36"/>
        <v>21.926280475115611</v>
      </c>
      <c r="AJ50" s="33">
        <f t="shared" si="37"/>
        <v>15.65029283165336</v>
      </c>
      <c r="AK50" s="39">
        <f t="shared" si="5"/>
        <v>653.2715437169428</v>
      </c>
      <c r="AL50" s="36">
        <f t="shared" si="38"/>
        <v>615.0513549638373</v>
      </c>
      <c r="AM50" s="36">
        <f t="shared" si="39"/>
        <v>13.782163771480164</v>
      </c>
      <c r="AN50" s="37">
        <f t="shared" si="40"/>
        <v>21.575115174416993</v>
      </c>
      <c r="AO50" s="40">
        <f t="shared" si="6"/>
        <v>638.39545092238188</v>
      </c>
      <c r="AP50" s="32">
        <f t="shared" si="56"/>
        <v>666.39703288842429</v>
      </c>
      <c r="AQ50" s="32">
        <f t="shared" si="41"/>
        <v>17.594880109399938</v>
      </c>
      <c r="AR50" s="33">
        <f t="shared" si="42"/>
        <v>18.310739842913751</v>
      </c>
      <c r="AS50" s="33">
        <f t="shared" si="43"/>
        <v>11.74231821197025</v>
      </c>
      <c r="AT50" s="39">
        <f t="shared" si="7"/>
        <v>451.30658961521829</v>
      </c>
      <c r="AU50" s="36">
        <f t="shared" si="44"/>
        <v>658.88106026073729</v>
      </c>
      <c r="AV50" s="36">
        <f t="shared" si="45"/>
        <v>17.233589347751774</v>
      </c>
      <c r="AW50" s="37">
        <f t="shared" si="46"/>
        <v>18.483764780221044</v>
      </c>
      <c r="AX50" s="40">
        <f t="shared" si="8"/>
        <v>551.58544113636788</v>
      </c>
      <c r="AY50" s="2">
        <f t="shared" si="57"/>
        <v>20.882734031559778</v>
      </c>
      <c r="AZ50" s="2">
        <f t="shared" si="47"/>
        <v>549.77982451012758</v>
      </c>
      <c r="BA50" s="2">
        <f t="shared" si="48"/>
        <v>606.04694131020869</v>
      </c>
      <c r="BB50" s="44">
        <f t="shared" si="60"/>
        <v>606.04694131020869</v>
      </c>
      <c r="BC50">
        <f t="shared" si="49"/>
        <v>168</v>
      </c>
      <c r="BD50" s="2">
        <f t="shared" si="50"/>
        <v>76.739435470765471</v>
      </c>
      <c r="BE50" s="2">
        <f t="shared" si="51"/>
        <v>484.83755304816697</v>
      </c>
      <c r="BF50" s="2">
        <f t="shared" si="62"/>
        <v>33.585739647877617</v>
      </c>
      <c r="BG50" s="24">
        <f t="shared" si="61"/>
        <v>0.43765945685999197</v>
      </c>
    </row>
    <row r="51" spans="1:59" x14ac:dyDescent="0.25">
      <c r="A51">
        <f t="shared" si="11"/>
        <v>174</v>
      </c>
      <c r="B51">
        <v>2.9</v>
      </c>
      <c r="C51" s="2">
        <f t="shared" si="58"/>
        <v>606.04694131020869</v>
      </c>
      <c r="D51" s="2">
        <f t="shared" si="12"/>
        <v>16.465061388466594</v>
      </c>
      <c r="E51" s="2">
        <f t="shared" si="13"/>
        <v>644.85187422788056</v>
      </c>
      <c r="F51" s="25">
        <f t="shared" si="14"/>
        <v>37.359017637451231</v>
      </c>
      <c r="G51">
        <f t="shared" si="15"/>
        <v>4.7835530141108128E-5</v>
      </c>
      <c r="H51">
        <f t="shared" si="16"/>
        <v>1.3986173351070595E-4</v>
      </c>
      <c r="I51" s="51">
        <f t="shared" si="59"/>
        <v>7.5645892906733644E-5</v>
      </c>
      <c r="J51" s="28">
        <f t="shared" si="52"/>
        <v>0.14099154553143431</v>
      </c>
      <c r="K51" s="24">
        <f t="shared" si="53"/>
        <v>19.331363254982264</v>
      </c>
      <c r="L51" s="33">
        <f t="shared" si="54"/>
        <v>12.522580967159122</v>
      </c>
      <c r="M51" s="39">
        <f t="shared" si="55"/>
        <v>498.34147920406576</v>
      </c>
      <c r="N51" s="40">
        <f t="shared" si="17"/>
        <v>288.74079740940761</v>
      </c>
      <c r="O51" s="32">
        <f t="shared" si="18"/>
        <v>616.99936460464312</v>
      </c>
      <c r="P51" s="32">
        <f t="shared" si="19"/>
        <v>14.075168700611245</v>
      </c>
      <c r="Q51" s="33">
        <f t="shared" si="20"/>
        <v>21.636996632436141</v>
      </c>
      <c r="R51" s="33">
        <f t="shared" si="21"/>
        <v>15.208598656076717</v>
      </c>
      <c r="S51" s="39">
        <f t="shared" si="22"/>
        <v>632.5540453983034</v>
      </c>
      <c r="T51" s="36">
        <f t="shared" si="23"/>
        <v>606.17650317088624</v>
      </c>
      <c r="U51" s="36">
        <f t="shared" si="24"/>
        <v>10.169192609152933</v>
      </c>
      <c r="V51" s="37">
        <f t="shared" si="25"/>
        <v>29.422427034287363</v>
      </c>
      <c r="W51" s="40">
        <f t="shared" si="3"/>
        <v>757.89147484519947</v>
      </c>
      <c r="X51" s="32">
        <f t="shared" si="26"/>
        <v>656.11859885824674</v>
      </c>
      <c r="Y51" s="32">
        <f t="shared" si="27"/>
        <v>17.093076473728637</v>
      </c>
      <c r="Z51" s="33">
        <f t="shared" si="28"/>
        <v>18.946455873001494</v>
      </c>
      <c r="AA51" s="33">
        <f t="shared" si="29"/>
        <v>12.202329143448132</v>
      </c>
      <c r="AB51" s="39">
        <f t="shared" si="30"/>
        <v>477.2583567750047</v>
      </c>
      <c r="AC51" s="36">
        <f t="shared" si="31"/>
        <v>741.44230326125307</v>
      </c>
      <c r="AD51" s="36">
        <f t="shared" si="32"/>
        <v>20.275768544581815</v>
      </c>
      <c r="AE51" s="37">
        <f t="shared" si="33"/>
        <v>18.049530343113364</v>
      </c>
      <c r="AF51" s="40">
        <f t="shared" si="4"/>
        <v>485.31360299383584</v>
      </c>
      <c r="AG51" s="32">
        <f t="shared" si="34"/>
        <v>614.1936343639577</v>
      </c>
      <c r="AH51" s="32">
        <f t="shared" si="35"/>
        <v>13.637763101580218</v>
      </c>
      <c r="AI51" s="33">
        <f t="shared" si="36"/>
        <v>22.229415239747603</v>
      </c>
      <c r="AJ51" s="33">
        <f t="shared" si="37"/>
        <v>16.140921718340216</v>
      </c>
      <c r="AK51" s="39">
        <f t="shared" si="5"/>
        <v>674.39784713957238</v>
      </c>
      <c r="AL51" s="36">
        <f t="shared" si="38"/>
        <v>615.18500903237987</v>
      </c>
      <c r="AM51" s="36">
        <f t="shared" si="39"/>
        <v>13.803707665809085</v>
      </c>
      <c r="AN51" s="37">
        <f t="shared" si="40"/>
        <v>21.997628344230314</v>
      </c>
      <c r="AO51" s="40">
        <f t="shared" si="6"/>
        <v>645.72716780316216</v>
      </c>
      <c r="AP51" s="32">
        <f t="shared" si="56"/>
        <v>678.31212468861975</v>
      </c>
      <c r="AQ51" s="32">
        <f t="shared" si="41"/>
        <v>18.116486368647291</v>
      </c>
      <c r="AR51" s="33">
        <f t="shared" si="42"/>
        <v>18.480830254035094</v>
      </c>
      <c r="AS51" s="33">
        <f t="shared" si="43"/>
        <v>11.857339853249492</v>
      </c>
      <c r="AT51" s="39">
        <f t="shared" si="7"/>
        <v>448.59129594024154</v>
      </c>
      <c r="AU51" s="36">
        <f t="shared" si="44"/>
        <v>662.49776708100285</v>
      </c>
      <c r="AV51" s="36">
        <f t="shared" si="45"/>
        <v>17.411032830504897</v>
      </c>
      <c r="AW51" s="37">
        <f t="shared" si="46"/>
        <v>18.781304502091647</v>
      </c>
      <c r="AX51" s="40">
        <f t="shared" si="8"/>
        <v>554.04537121335193</v>
      </c>
      <c r="AY51" s="2">
        <f t="shared" si="57"/>
        <v>21.193073527867877</v>
      </c>
      <c r="AZ51" s="2">
        <f t="shared" si="47"/>
        <v>558.20038631328055</v>
      </c>
      <c r="BA51" s="2">
        <f t="shared" si="48"/>
        <v>610.74440421388738</v>
      </c>
      <c r="BB51" s="44">
        <f t="shared" si="60"/>
        <v>610.74440421388738</v>
      </c>
      <c r="BC51">
        <f t="shared" si="49"/>
        <v>174</v>
      </c>
      <c r="BD51" s="2">
        <f t="shared" si="50"/>
        <v>75.64589290673365</v>
      </c>
      <c r="BE51" s="2">
        <f t="shared" si="51"/>
        <v>488.59552337110995</v>
      </c>
      <c r="BF51" s="2">
        <f t="shared" si="62"/>
        <v>32.863845240357463</v>
      </c>
      <c r="BG51" s="24">
        <f t="shared" si="61"/>
        <v>0.43444321928853952</v>
      </c>
    </row>
    <row r="52" spans="1:59" x14ac:dyDescent="0.25">
      <c r="A52">
        <f t="shared" si="11"/>
        <v>180</v>
      </c>
      <c r="B52">
        <v>3</v>
      </c>
      <c r="C52" s="2">
        <f t="shared" si="58"/>
        <v>610.74440421388738</v>
      </c>
      <c r="D52" s="2">
        <f t="shared" si="12"/>
        <v>16.575207794900429</v>
      </c>
      <c r="E52" s="2">
        <f t="shared" si="13"/>
        <v>646.70176220964743</v>
      </c>
      <c r="F52" s="25">
        <f t="shared" si="14"/>
        <v>38.500569643035817</v>
      </c>
      <c r="G52">
        <f t="shared" si="15"/>
        <v>4.7121025961150728E-5</v>
      </c>
      <c r="H52">
        <f t="shared" si="16"/>
        <v>1.3777266304541158E-4</v>
      </c>
      <c r="I52" s="51">
        <f t="shared" si="59"/>
        <v>7.4601357674086461E-5</v>
      </c>
      <c r="J52" s="28">
        <f t="shared" si="52"/>
        <v>0.13930425701558069</v>
      </c>
      <c r="K52" s="24">
        <f t="shared" si="53"/>
        <v>19.64696931460929</v>
      </c>
      <c r="L52" s="33">
        <f t="shared" si="54"/>
        <v>12.810213528051229</v>
      </c>
      <c r="M52" s="39">
        <f t="shared" si="55"/>
        <v>509.27858992728721</v>
      </c>
      <c r="N52" s="40">
        <f t="shared" si="17"/>
        <v>290.79742427232623</v>
      </c>
      <c r="O52" s="32">
        <f t="shared" si="18"/>
        <v>618.73823794963687</v>
      </c>
      <c r="P52" s="32">
        <f t="shared" si="19"/>
        <v>14.306000193259212</v>
      </c>
      <c r="Q52" s="33">
        <f t="shared" si="20"/>
        <v>21.779065134448516</v>
      </c>
      <c r="R52" s="33">
        <f t="shared" si="21"/>
        <v>15.422330072861961</v>
      </c>
      <c r="S52" s="39">
        <f t="shared" si="22"/>
        <v>640.83486517731376</v>
      </c>
      <c r="T52" s="36">
        <f t="shared" si="23"/>
        <v>606.23439098666722</v>
      </c>
      <c r="U52" s="36">
        <f t="shared" si="24"/>
        <v>10.202737896344541</v>
      </c>
      <c r="V52" s="37">
        <f t="shared" si="25"/>
        <v>29.920878728501968</v>
      </c>
      <c r="W52" s="40">
        <f t="shared" si="3"/>
        <v>765.63788387780119</v>
      </c>
      <c r="X52" s="32">
        <f t="shared" si="26"/>
        <v>660.06577601708454</v>
      </c>
      <c r="Y52" s="32">
        <f t="shared" si="27"/>
        <v>17.292494809621672</v>
      </c>
      <c r="Z52" s="33">
        <f t="shared" si="28"/>
        <v>19.22118087722712</v>
      </c>
      <c r="AA52" s="33">
        <f t="shared" si="29"/>
        <v>12.427546135320569</v>
      </c>
      <c r="AB52" s="39">
        <f t="shared" si="30"/>
        <v>484.06230325798015</v>
      </c>
      <c r="AC52" s="36">
        <f t="shared" si="31"/>
        <v>748.73310028588389</v>
      </c>
      <c r="AD52" s="36">
        <f t="shared" si="32"/>
        <v>20.484019355043436</v>
      </c>
      <c r="AE52" s="37">
        <f t="shared" si="33"/>
        <v>18.406124683285864</v>
      </c>
      <c r="AF52" s="40">
        <f t="shared" si="4"/>
        <v>486.21791746820861</v>
      </c>
      <c r="AG52" s="32">
        <f t="shared" si="34"/>
        <v>615.02467708843142</v>
      </c>
      <c r="AH52" s="32">
        <f t="shared" si="35"/>
        <v>13.777834528470077</v>
      </c>
      <c r="AI52" s="33">
        <f t="shared" si="36"/>
        <v>22.478228474773918</v>
      </c>
      <c r="AJ52" s="33">
        <f t="shared" si="37"/>
        <v>16.565488128066825</v>
      </c>
      <c r="AK52" s="39">
        <f t="shared" si="5"/>
        <v>692.49204728171765</v>
      </c>
      <c r="AL52" s="36">
        <f t="shared" si="38"/>
        <v>615.30236063475627</v>
      </c>
      <c r="AM52" s="36">
        <f t="shared" si="39"/>
        <v>13.822428018129573</v>
      </c>
      <c r="AN52" s="37">
        <f t="shared" si="40"/>
        <v>22.415826084007612</v>
      </c>
      <c r="AO52" s="40">
        <f t="shared" si="6"/>
        <v>652.92846878770592</v>
      </c>
      <c r="AP52" s="32">
        <f t="shared" si="56"/>
        <v>689.74092876905479</v>
      </c>
      <c r="AQ52" s="32">
        <f t="shared" si="41"/>
        <v>18.571178542448827</v>
      </c>
      <c r="AR52" s="33">
        <f t="shared" si="42"/>
        <v>18.702386866865471</v>
      </c>
      <c r="AS52" s="33">
        <f t="shared" si="43"/>
        <v>12.015881428310252</v>
      </c>
      <c r="AT52" s="39">
        <f t="shared" si="7"/>
        <v>447.89140753734608</v>
      </c>
      <c r="AU52" s="36">
        <f t="shared" si="44"/>
        <v>666.21574445557826</v>
      </c>
      <c r="AV52" s="36">
        <f t="shared" si="45"/>
        <v>17.586492119454007</v>
      </c>
      <c r="AW52" s="37">
        <f t="shared" si="46"/>
        <v>19.07594995311802</v>
      </c>
      <c r="AX52" s="40">
        <f t="shared" si="8"/>
        <v>556.29480879286973</v>
      </c>
      <c r="AY52" s="2">
        <f t="shared" si="57"/>
        <v>21.499955100278562</v>
      </c>
      <c r="AZ52" s="2">
        <f t="shared" si="47"/>
        <v>566.32015581358939</v>
      </c>
      <c r="BA52" s="2">
        <f t="shared" si="48"/>
        <v>615.26976973164642</v>
      </c>
      <c r="BB52" s="44">
        <f t="shared" si="60"/>
        <v>615.26976973164642</v>
      </c>
      <c r="BC52">
        <f t="shared" si="49"/>
        <v>180</v>
      </c>
      <c r="BD52" s="2">
        <f t="shared" si="50"/>
        <v>74.601357674086458</v>
      </c>
      <c r="BE52" s="2">
        <f t="shared" si="51"/>
        <v>492.21581578531715</v>
      </c>
      <c r="BF52" s="2">
        <f t="shared" si="62"/>
        <v>32.177918730496252</v>
      </c>
      <c r="BG52" s="24">
        <f t="shared" si="61"/>
        <v>0.43133154320157341</v>
      </c>
    </row>
    <row r="53" spans="1:59" x14ac:dyDescent="0.25">
      <c r="A53">
        <f t="shared" si="11"/>
        <v>186</v>
      </c>
      <c r="B53">
        <v>3.1</v>
      </c>
      <c r="C53" s="2">
        <f t="shared" si="58"/>
        <v>615.26976973164642</v>
      </c>
      <c r="D53" s="2">
        <f t="shared" si="12"/>
        <v>16.681786301675864</v>
      </c>
      <c r="E53" s="2">
        <f t="shared" si="13"/>
        <v>648.54242647147203</v>
      </c>
      <c r="F53" s="25">
        <f t="shared" si="14"/>
        <v>39.642256777184009</v>
      </c>
      <c r="G53">
        <f t="shared" si="15"/>
        <v>4.6437531982559596E-5</v>
      </c>
      <c r="H53">
        <f t="shared" si="16"/>
        <v>1.3577426034332184E-4</v>
      </c>
      <c r="I53" s="51">
        <f t="shared" si="59"/>
        <v>7.3602156323041593E-5</v>
      </c>
      <c r="J53" s="28">
        <f t="shared" si="52"/>
        <v>0.13768540369495477</v>
      </c>
      <c r="K53" s="24">
        <f t="shared" si="53"/>
        <v>19.958623635354691</v>
      </c>
      <c r="L53" s="33">
        <f t="shared" si="54"/>
        <v>13.117429096489559</v>
      </c>
      <c r="M53" s="39">
        <f t="shared" si="55"/>
        <v>520.94651231179364</v>
      </c>
      <c r="N53" s="40">
        <f t="shared" si="17"/>
        <v>292.78810299275398</v>
      </c>
      <c r="O53" s="32">
        <f t="shared" si="18"/>
        <v>620.82642031434693</v>
      </c>
      <c r="P53" s="32">
        <f t="shared" si="19"/>
        <v>14.555209760227818</v>
      </c>
      <c r="Q53" s="33">
        <f t="shared" si="20"/>
        <v>21.897093469041931</v>
      </c>
      <c r="R53" s="33">
        <f t="shared" si="21"/>
        <v>15.604567225869509</v>
      </c>
      <c r="S53" s="39">
        <f t="shared" si="22"/>
        <v>647.38754420911903</v>
      </c>
      <c r="T53" s="36">
        <f t="shared" si="23"/>
        <v>606.28850242917429</v>
      </c>
      <c r="U53" s="36">
        <f t="shared" si="24"/>
        <v>10.235297751834715</v>
      </c>
      <c r="V53" s="37">
        <f t="shared" si="25"/>
        <v>30.409802620981338</v>
      </c>
      <c r="W53" s="40">
        <f t="shared" si="3"/>
        <v>773.18601036932296</v>
      </c>
      <c r="X53" s="32">
        <f t="shared" si="26"/>
        <v>663.3403077102065</v>
      </c>
      <c r="Y53" s="32">
        <f t="shared" si="27"/>
        <v>17.451384766981228</v>
      </c>
      <c r="Z53" s="33">
        <f t="shared" si="28"/>
        <v>19.51377279142697</v>
      </c>
      <c r="AA53" s="33">
        <f t="shared" si="29"/>
        <v>12.685998246339949</v>
      </c>
      <c r="AB53" s="39">
        <f t="shared" si="30"/>
        <v>492.5735194792054</v>
      </c>
      <c r="AC53" s="36">
        <f t="shared" si="31"/>
        <v>756.09095404320283</v>
      </c>
      <c r="AD53" s="36">
        <f t="shared" si="32"/>
        <v>20.688232616092058</v>
      </c>
      <c r="AE53" s="37">
        <f t="shared" si="33"/>
        <v>18.762270864100138</v>
      </c>
      <c r="AF53" s="40">
        <f t="shared" si="4"/>
        <v>486.99575751208857</v>
      </c>
      <c r="AG53" s="32">
        <f t="shared" si="34"/>
        <v>616.16281375380436</v>
      </c>
      <c r="AH53" s="32">
        <f t="shared" si="35"/>
        <v>13.954513088717666</v>
      </c>
      <c r="AI53" s="33">
        <f t="shared" si="36"/>
        <v>22.668122303081947</v>
      </c>
      <c r="AJ53" s="33">
        <f t="shared" si="37"/>
        <v>16.90310149462578</v>
      </c>
      <c r="AK53" s="39">
        <f t="shared" si="5"/>
        <v>706.56759582890265</v>
      </c>
      <c r="AL53" s="36">
        <f t="shared" si="38"/>
        <v>615.4042995907248</v>
      </c>
      <c r="AM53" s="36">
        <f t="shared" si="39"/>
        <v>13.838544858518167</v>
      </c>
      <c r="AN53" s="37">
        <f t="shared" si="40"/>
        <v>22.82994421494115</v>
      </c>
      <c r="AO53" s="40">
        <f t="shared" si="6"/>
        <v>660.00681245471594</v>
      </c>
      <c r="AP53" s="32">
        <f t="shared" si="56"/>
        <v>699.45356154654155</v>
      </c>
      <c r="AQ53" s="32">
        <f t="shared" si="41"/>
        <v>18.929956786764706</v>
      </c>
      <c r="AR53" s="33">
        <f t="shared" si="42"/>
        <v>18.968981515859344</v>
      </c>
      <c r="AS53" s="33">
        <f t="shared" si="43"/>
        <v>12.220175606389049</v>
      </c>
      <c r="AT53" s="39">
        <f t="shared" si="7"/>
        <v>449.9884455915527</v>
      </c>
      <c r="AU53" s="36">
        <f t="shared" si="44"/>
        <v>670.03391393014272</v>
      </c>
      <c r="AV53" s="36">
        <f t="shared" si="45"/>
        <v>17.760087614155619</v>
      </c>
      <c r="AW53" s="37">
        <f t="shared" si="46"/>
        <v>19.368073799801678</v>
      </c>
      <c r="AX53" s="40">
        <f t="shared" si="8"/>
        <v>558.34540931170693</v>
      </c>
      <c r="AY53" s="2">
        <f t="shared" si="57"/>
        <v>21.802257697404308</v>
      </c>
      <c r="AZ53" s="2">
        <f t="shared" si="47"/>
        <v>574.12927627719489</v>
      </c>
      <c r="BA53" s="2">
        <f t="shared" si="48"/>
        <v>619.63349741195861</v>
      </c>
      <c r="BB53" s="44">
        <f t="shared" si="60"/>
        <v>619.63349741195861</v>
      </c>
      <c r="BC53">
        <f t="shared" si="49"/>
        <v>186</v>
      </c>
      <c r="BD53" s="2">
        <f t="shared" si="50"/>
        <v>73.602156323041598</v>
      </c>
      <c r="BE53" s="2">
        <f t="shared" si="51"/>
        <v>495.7067979295669</v>
      </c>
      <c r="BF53" s="2">
        <f t="shared" si="62"/>
        <v>31.526067379386898</v>
      </c>
      <c r="BG53" s="24">
        <f t="shared" si="61"/>
        <v>0.4283307576074028</v>
      </c>
    </row>
    <row r="54" spans="1:59" x14ac:dyDescent="0.25">
      <c r="A54">
        <f t="shared" si="11"/>
        <v>192</v>
      </c>
      <c r="B54">
        <v>3.2</v>
      </c>
      <c r="C54" s="2">
        <f t="shared" si="58"/>
        <v>619.63349741195861</v>
      </c>
      <c r="D54" s="2">
        <f t="shared" si="12"/>
        <v>16.784992461073163</v>
      </c>
      <c r="E54" s="2">
        <f t="shared" si="13"/>
        <v>650.3726617239206</v>
      </c>
      <c r="F54" s="25">
        <f t="shared" si="14"/>
        <v>40.784199553351257</v>
      </c>
      <c r="G54">
        <f t="shared" si="15"/>
        <v>4.5782799359881188E-5</v>
      </c>
      <c r="H54">
        <f t="shared" si="16"/>
        <v>1.3385995022020439E-4</v>
      </c>
      <c r="I54" s="51">
        <f t="shared" si="59"/>
        <v>7.2645001261482868E-5</v>
      </c>
      <c r="J54" s="28">
        <f t="shared" si="52"/>
        <v>0.13613019704425078</v>
      </c>
      <c r="K54" s="24">
        <f t="shared" si="53"/>
        <v>20.266528279638063</v>
      </c>
      <c r="L54" s="33">
        <f t="shared" si="54"/>
        <v>13.44451285607915</v>
      </c>
      <c r="M54" s="39">
        <f t="shared" si="55"/>
        <v>533.35573354187875</v>
      </c>
      <c r="N54" s="40">
        <f t="shared" si="17"/>
        <v>294.71707545698933</v>
      </c>
      <c r="O54" s="32">
        <f t="shared" si="18"/>
        <v>623.32923560717791</v>
      </c>
      <c r="P54" s="32">
        <f t="shared" si="19"/>
        <v>14.823598694603602</v>
      </c>
      <c r="Q54" s="33">
        <f t="shared" si="20"/>
        <v>21.993891570277494</v>
      </c>
      <c r="R54" s="33">
        <f t="shared" si="21"/>
        <v>15.757228731582195</v>
      </c>
      <c r="S54" s="39">
        <f t="shared" si="22"/>
        <v>652.22361210491999</v>
      </c>
      <c r="T54" s="36">
        <f t="shared" si="23"/>
        <v>606.33921188662407</v>
      </c>
      <c r="U54" s="36">
        <f t="shared" si="24"/>
        <v>10.266933012125948</v>
      </c>
      <c r="V54" s="37">
        <f t="shared" si="25"/>
        <v>30.889662168307122</v>
      </c>
      <c r="W54" s="40">
        <f t="shared" si="3"/>
        <v>780.54656517803312</v>
      </c>
      <c r="X54" s="32">
        <f t="shared" si="26"/>
        <v>665.84447827745521</v>
      </c>
      <c r="Y54" s="32">
        <f t="shared" si="27"/>
        <v>17.569267040966835</v>
      </c>
      <c r="Z54" s="33">
        <f t="shared" si="28"/>
        <v>19.822452725645309</v>
      </c>
      <c r="AA54" s="33">
        <f t="shared" si="29"/>
        <v>12.980301783930202</v>
      </c>
      <c r="AB54" s="39">
        <f t="shared" si="30"/>
        <v>502.97472505357723</v>
      </c>
      <c r="AC54" s="36">
        <f t="shared" si="31"/>
        <v>763.51134803144373</v>
      </c>
      <c r="AD54" s="36">
        <f t="shared" si="32"/>
        <v>20.888600202654011</v>
      </c>
      <c r="AE54" s="37">
        <f t="shared" si="33"/>
        <v>19.118085107672535</v>
      </c>
      <c r="AF54" s="40">
        <f t="shared" si="4"/>
        <v>487.65714477225862</v>
      </c>
      <c r="AG54" s="32">
        <f t="shared" si="34"/>
        <v>617.71107948946565</v>
      </c>
      <c r="AH54" s="32">
        <f t="shared" si="35"/>
        <v>14.172627829304613</v>
      </c>
      <c r="AI54" s="33">
        <f t="shared" si="36"/>
        <v>22.796765946461083</v>
      </c>
      <c r="AJ54" s="33">
        <f t="shared" si="37"/>
        <v>17.138622579339383</v>
      </c>
      <c r="AK54" s="39">
        <f t="shared" si="5"/>
        <v>715.85440010006289</v>
      </c>
      <c r="AL54" s="36">
        <f t="shared" si="38"/>
        <v>615.49170809124769</v>
      </c>
      <c r="AM54" s="36">
        <f t="shared" si="39"/>
        <v>13.852259459154814</v>
      </c>
      <c r="AN54" s="37">
        <f t="shared" si="40"/>
        <v>23.240197854107553</v>
      </c>
      <c r="AO54" s="40">
        <f t="shared" si="6"/>
        <v>666.96891979523934</v>
      </c>
      <c r="AP54" s="32">
        <f t="shared" si="56"/>
        <v>706.27108791725345</v>
      </c>
      <c r="AQ54" s="32">
        <f t="shared" si="41"/>
        <v>19.169102456979971</v>
      </c>
      <c r="AR54" s="33">
        <f t="shared" si="42"/>
        <v>19.271161086048224</v>
      </c>
      <c r="AS54" s="33">
        <f t="shared" si="43"/>
        <v>12.470316015537314</v>
      </c>
      <c r="AT54" s="39">
        <f t="shared" si="7"/>
        <v>455.5543582426688</v>
      </c>
      <c r="AU54" s="36">
        <f t="shared" si="44"/>
        <v>673.95122401196272</v>
      </c>
      <c r="AV54" s="36">
        <f t="shared" si="45"/>
        <v>17.931927240084931</v>
      </c>
      <c r="AW54" s="37">
        <f t="shared" si="46"/>
        <v>19.658018093303646</v>
      </c>
      <c r="AX54" s="40">
        <f t="shared" si="8"/>
        <v>560.20798060267191</v>
      </c>
      <c r="AY54" s="2">
        <f t="shared" si="57"/>
        <v>22.098779318977869</v>
      </c>
      <c r="AZ54" s="2">
        <f t="shared" si="47"/>
        <v>581.6517738753073</v>
      </c>
      <c r="BA54" s="2">
        <f t="shared" si="48"/>
        <v>623.84515258705073</v>
      </c>
      <c r="BB54" s="44">
        <f t="shared" si="60"/>
        <v>623.84515258705073</v>
      </c>
      <c r="BC54">
        <f t="shared" si="49"/>
        <v>192</v>
      </c>
      <c r="BD54" s="2">
        <f t="shared" si="50"/>
        <v>72.645001261482875</v>
      </c>
      <c r="BE54" s="2">
        <f t="shared" si="51"/>
        <v>499.07612206964063</v>
      </c>
      <c r="BF54" s="2">
        <f t="shared" si="62"/>
        <v>30.906625431126908</v>
      </c>
      <c r="BG54" s="24">
        <f t="shared" si="61"/>
        <v>0.42544737964666979</v>
      </c>
    </row>
    <row r="55" spans="1:59" x14ac:dyDescent="0.25">
      <c r="A55">
        <f t="shared" si="11"/>
        <v>198</v>
      </c>
      <c r="B55">
        <v>3.3</v>
      </c>
      <c r="C55" s="2">
        <f t="shared" si="58"/>
        <v>623.84515258705073</v>
      </c>
      <c r="D55" s="2">
        <f t="shared" si="12"/>
        <v>16.885006471756078</v>
      </c>
      <c r="E55" s="2">
        <f t="shared" si="13"/>
        <v>652.19142808450374</v>
      </c>
      <c r="F55" s="25">
        <f t="shared" si="14"/>
        <v>41.926502264037076</v>
      </c>
      <c r="G55">
        <f t="shared" si="15"/>
        <v>4.5154807897668119E-5</v>
      </c>
      <c r="H55">
        <f t="shared" si="16"/>
        <v>1.3202382601972099E-4</v>
      </c>
      <c r="I55" s="51">
        <f t="shared" si="59"/>
        <v>7.1726939161241164E-5</v>
      </c>
      <c r="J55" s="28">
        <f t="shared" si="52"/>
        <v>0.1346343249945551</v>
      </c>
      <c r="K55" s="24">
        <f t="shared" si="53"/>
        <v>20.570867715832733</v>
      </c>
      <c r="L55" s="33">
        <f t="shared" si="54"/>
        <v>13.791733180902028</v>
      </c>
      <c r="M55" s="39">
        <f t="shared" si="55"/>
        <v>546.51576758850752</v>
      </c>
      <c r="N55" s="40">
        <f t="shared" ref="N55:N72" si="63">$C$17*0.399*$C$12*J55*B55/(D55*$E$11)*SQRT(D55/(4500*E55*B55*I55))</f>
        <v>296.58820633979224</v>
      </c>
      <c r="O55" s="32">
        <f t="shared" si="18"/>
        <v>626.32246421448326</v>
      </c>
      <c r="P55" s="32">
        <f t="shared" si="19"/>
        <v>15.111995061015127</v>
      </c>
      <c r="Q55" s="33">
        <f t="shared" si="20"/>
        <v>22.072673647788548</v>
      </c>
      <c r="R55" s="33">
        <f t="shared" si="21"/>
        <v>15.883629681221834</v>
      </c>
      <c r="S55" s="39">
        <f t="shared" ref="S55:S72" si="64">$C$16*R55*0.159*$C$12*$J55*2/(4500*O55*$E$11*$I55)</f>
        <v>655.40643428507474</v>
      </c>
      <c r="T55" s="36">
        <f t="shared" si="23"/>
        <v>606.386849274415</v>
      </c>
      <c r="U55" s="36">
        <f t="shared" si="24"/>
        <v>10.297699304623137</v>
      </c>
      <c r="V55" s="37">
        <f t="shared" si="25"/>
        <v>31.360886042980319</v>
      </c>
      <c r="W55" s="40">
        <f t="shared" ref="W55:W72" si="65">$C$17*0.399*$C$12*$J55*$B55*2/(U55*$E$11)*SQRT(U55/(4500*T55*$B55*$I55))</f>
        <v>787.72937695506494</v>
      </c>
      <c r="X55" s="32">
        <f t="shared" si="26"/>
        <v>667.53374970491564</v>
      </c>
      <c r="Y55" s="32">
        <f t="shared" si="27"/>
        <v>17.647136238624924</v>
      </c>
      <c r="Z55" s="33">
        <f t="shared" si="28"/>
        <v>20.145485853483279</v>
      </c>
      <c r="AA55" s="33">
        <f t="shared" si="29"/>
        <v>13.31307743458607</v>
      </c>
      <c r="AB55" s="39">
        <f t="shared" ref="AB55:AB72" si="66">$C$16*AA55*0.159*$C$12*$J55*2/(4500*X55*$E$11*$I55)</f>
        <v>515.42344136937083</v>
      </c>
      <c r="AC55" s="36">
        <f t="shared" si="31"/>
        <v>770.99009072613012</v>
      </c>
      <c r="AD55" s="36">
        <f t="shared" si="32"/>
        <v>21.085299280460504</v>
      </c>
      <c r="AE55" s="37">
        <f t="shared" si="33"/>
        <v>19.473668956475056</v>
      </c>
      <c r="AF55" s="40">
        <f t="shared" ref="AF55:AF72" si="67">$C$17*0.399*$C$12*$J55*$B55*2/(AD55*$E$11)*SQRT(AD55/(4500*AC55*$B55*$I55))</f>
        <v>488.21121226833537</v>
      </c>
      <c r="AG55" s="32">
        <f t="shared" si="34"/>
        <v>619.80698066716263</v>
      </c>
      <c r="AH55" s="32">
        <f t="shared" si="35"/>
        <v>14.436865022073329</v>
      </c>
      <c r="AI55" s="33">
        <f t="shared" si="36"/>
        <v>22.864532371186392</v>
      </c>
      <c r="AJ55" s="33">
        <f t="shared" si="37"/>
        <v>17.264926868773614</v>
      </c>
      <c r="AK55" s="39">
        <f t="shared" ref="AK55:AK72" si="68">$C$16*AJ55*0.159*$C$12*$J55*2/(4500*AG55*$E$11*$I55)</f>
        <v>719.8917824035168</v>
      </c>
      <c r="AL55" s="36">
        <f t="shared" si="38"/>
        <v>615.5654528435424</v>
      </c>
      <c r="AM55" s="36">
        <f t="shared" si="39"/>
        <v>13.863756207661652</v>
      </c>
      <c r="AN55" s="37">
        <f t="shared" si="40"/>
        <v>23.64678385493507</v>
      </c>
      <c r="AO55" s="40">
        <f t="shared" ref="AO55:AO72" si="69">$C$17*0.399*$C$12*$J55*$B55*2/(AM55*$E$11)*SQRT(AM55/(4500*AL55*$B55*$I55))</f>
        <v>673.82086791594918</v>
      </c>
      <c r="AP55" s="32">
        <f t="shared" si="56"/>
        <v>709.3389711017694</v>
      </c>
      <c r="AQ55" s="32">
        <f t="shared" si="41"/>
        <v>19.273672100970195</v>
      </c>
      <c r="AR55" s="33">
        <f t="shared" si="42"/>
        <v>19.600543358624961</v>
      </c>
      <c r="AS55" s="33">
        <f t="shared" si="43"/>
        <v>12.766443973987599</v>
      </c>
      <c r="AT55" s="39">
        <f t="shared" ref="AT55:AT72" si="70">$C$16*AS55*0.159*$C$12*$J55*2/(4500*AP55*$E$11*$I55)</f>
        <v>465.13075791123634</v>
      </c>
      <c r="AU55" s="36">
        <f t="shared" si="44"/>
        <v>677.96664456549388</v>
      </c>
      <c r="AV55" s="36">
        <f t="shared" si="45"/>
        <v>18.102108017771457</v>
      </c>
      <c r="AW55" s="37">
        <f t="shared" si="46"/>
        <v>19.946097230011624</v>
      </c>
      <c r="AX55" s="40">
        <f t="shared" ref="AX55:AX72" si="71">$C$17*0.399*$C$12*$J55*$B55*2/(AV55*$E$11)*SQRT(AV55/(4500*AU55*$B55*$I55))</f>
        <v>561.89257393527328</v>
      </c>
      <c r="AY55" s="2">
        <f t="shared" si="57"/>
        <v>22.388833914435658</v>
      </c>
      <c r="AZ55" s="2">
        <f t="shared" si="47"/>
        <v>588.96310399229969</v>
      </c>
      <c r="BA55" s="2">
        <f t="shared" si="48"/>
        <v>627.91350776865568</v>
      </c>
      <c r="BB55" s="44">
        <f t="shared" si="60"/>
        <v>627.91350776865568</v>
      </c>
      <c r="BC55">
        <f t="shared" si="49"/>
        <v>198</v>
      </c>
      <c r="BD55" s="2">
        <f t="shared" si="50"/>
        <v>71.726939161241162</v>
      </c>
      <c r="BE55" s="2">
        <f t="shared" si="51"/>
        <v>502.33080621492456</v>
      </c>
      <c r="BF55" s="2">
        <f t="shared" si="62"/>
        <v>30.317721326573785</v>
      </c>
      <c r="BG55" s="24">
        <f t="shared" si="61"/>
        <v>0.42268249114074097</v>
      </c>
    </row>
    <row r="56" spans="1:59" x14ac:dyDescent="0.25">
      <c r="A56">
        <f t="shared" si="11"/>
        <v>204</v>
      </c>
      <c r="B56">
        <v>3.4</v>
      </c>
      <c r="C56" s="2">
        <f t="shared" si="58"/>
        <v>627.91350776865568</v>
      </c>
      <c r="D56" s="2">
        <f t="shared" si="12"/>
        <v>16.981994826557582</v>
      </c>
      <c r="E56" s="2">
        <f t="shared" si="13"/>
        <v>653.99783276793505</v>
      </c>
      <c r="F56" s="25">
        <f t="shared" si="14"/>
        <v>43.069255023194884</v>
      </c>
      <c r="G56">
        <f t="shared" si="15"/>
        <v>4.4551736418920948E-5</v>
      </c>
      <c r="H56">
        <f t="shared" si="16"/>
        <v>1.3026056297654715E-4</v>
      </c>
      <c r="I56" s="51">
        <f t="shared" si="59"/>
        <v>7.0845307639654247E-5</v>
      </c>
      <c r="J56" s="28">
        <f t="shared" si="52"/>
        <v>0.1331938910948488</v>
      </c>
      <c r="K56" s="24">
        <f t="shared" si="53"/>
        <v>20.871810862305065</v>
      </c>
      <c r="L56" s="33">
        <f t="shared" si="54"/>
        <v>14.159343186524829</v>
      </c>
      <c r="M56" s="39">
        <f t="shared" si="55"/>
        <v>560.43526119355386</v>
      </c>
      <c r="N56" s="40">
        <f t="shared" si="63"/>
        <v>298.40502453903258</v>
      </c>
      <c r="O56" s="32">
        <f t="shared" si="18"/>
        <v>629.89360555443841</v>
      </c>
      <c r="P56" s="32">
        <f t="shared" si="19"/>
        <v>15.421256303198474</v>
      </c>
      <c r="Q56" s="33">
        <f t="shared" si="20"/>
        <v>22.137061418415211</v>
      </c>
      <c r="R56" s="33">
        <f t="shared" si="21"/>
        <v>15.98838216108161</v>
      </c>
      <c r="S56" s="39">
        <f t="shared" si="64"/>
        <v>657.04630013401481</v>
      </c>
      <c r="T56" s="36">
        <f t="shared" si="23"/>
        <v>606.43170624937056</v>
      </c>
      <c r="U56" s="36">
        <f t="shared" si="24"/>
        <v>10.327647598078876</v>
      </c>
      <c r="V56" s="37">
        <f t="shared" si="25"/>
        <v>31.823871693440363</v>
      </c>
      <c r="W56" s="40">
        <f t="shared" si="65"/>
        <v>794.74348947132239</v>
      </c>
      <c r="X56" s="32">
        <f t="shared" si="26"/>
        <v>668.41699037207218</v>
      </c>
      <c r="Y56" s="32">
        <f t="shared" si="27"/>
        <v>17.687344881137761</v>
      </c>
      <c r="Z56" s="33">
        <f t="shared" si="28"/>
        <v>20.481292607241727</v>
      </c>
      <c r="AA56" s="33">
        <f t="shared" si="29"/>
        <v>13.687014104565272</v>
      </c>
      <c r="AB56" s="39">
        <f t="shared" si="66"/>
        <v>530.0537208010237</v>
      </c>
      <c r="AC56" s="36">
        <f t="shared" si="31"/>
        <v>778.5232868579476</v>
      </c>
      <c r="AD56" s="36">
        <f t="shared" si="32"/>
        <v>21.278493864047391</v>
      </c>
      <c r="AE56" s="37">
        <f t="shared" si="33"/>
        <v>19.8291112226165</v>
      </c>
      <c r="AF56" s="40">
        <f t="shared" si="67"/>
        <v>488.6662979310014</v>
      </c>
      <c r="AG56" s="32">
        <f t="shared" si="34"/>
        <v>622.63380471738151</v>
      </c>
      <c r="AH56" s="32">
        <f t="shared" si="35"/>
        <v>14.751845343938161</v>
      </c>
      <c r="AI56" s="33">
        <f t="shared" si="36"/>
        <v>22.874882461424139</v>
      </c>
      <c r="AJ56" s="33">
        <f t="shared" si="37"/>
        <v>17.284354343177675</v>
      </c>
      <c r="AK56" s="39">
        <f t="shared" si="68"/>
        <v>718.58660640362234</v>
      </c>
      <c r="AL56" s="36">
        <f t="shared" si="38"/>
        <v>615.6263790283308</v>
      </c>
      <c r="AM56" s="36">
        <f t="shared" si="39"/>
        <v>13.873204253898646</v>
      </c>
      <c r="AN56" s="37">
        <f t="shared" si="40"/>
        <v>24.049882891211229</v>
      </c>
      <c r="AO56" s="40">
        <f t="shared" si="69"/>
        <v>680.56816989518973</v>
      </c>
      <c r="AP56" s="32">
        <f t="shared" si="56"/>
        <v>708.34024016552053</v>
      </c>
      <c r="AQ56" s="32">
        <f t="shared" si="41"/>
        <v>19.239827636993525</v>
      </c>
      <c r="AR56" s="33">
        <f t="shared" si="42"/>
        <v>19.953232497084173</v>
      </c>
      <c r="AS56" s="33">
        <f t="shared" si="43"/>
        <v>13.111913513074185</v>
      </c>
      <c r="AT56" s="39">
        <f t="shared" si="70"/>
        <v>479.1624919350927</v>
      </c>
      <c r="AU56" s="36">
        <f t="shared" si="44"/>
        <v>682.0791623892344</v>
      </c>
      <c r="AV56" s="36">
        <f t="shared" si="45"/>
        <v>18.270717407765027</v>
      </c>
      <c r="AW56" s="37">
        <f t="shared" si="46"/>
        <v>20.232600541589854</v>
      </c>
      <c r="AX56" s="40">
        <f t="shared" si="71"/>
        <v>563.40856209109074</v>
      </c>
      <c r="AY56" s="2">
        <f t="shared" si="57"/>
        <v>22.672741916627899</v>
      </c>
      <c r="AZ56" s="2">
        <f t="shared" si="47"/>
        <v>596.21227981843845</v>
      </c>
      <c r="BA56" s="2">
        <f t="shared" si="48"/>
        <v>631.84662984715101</v>
      </c>
      <c r="BB56" s="44">
        <f t="shared" si="60"/>
        <v>631.84662984715101</v>
      </c>
      <c r="BC56">
        <f t="shared" si="49"/>
        <v>204</v>
      </c>
      <c r="BD56" s="2">
        <f t="shared" si="50"/>
        <v>70.845307639654251</v>
      </c>
      <c r="BE56" s="2">
        <f t="shared" si="51"/>
        <v>505.47730387772083</v>
      </c>
      <c r="BF56" s="2">
        <f t="shared" si="62"/>
        <v>29.756994447434369</v>
      </c>
      <c r="BG56" s="24">
        <f t="shared" si="61"/>
        <v>0.42002773985808034</v>
      </c>
    </row>
    <row r="57" spans="1:59" x14ac:dyDescent="0.25">
      <c r="A57">
        <f t="shared" si="11"/>
        <v>210</v>
      </c>
      <c r="B57">
        <v>3.5</v>
      </c>
      <c r="C57" s="2">
        <f t="shared" si="58"/>
        <v>631.84662984715101</v>
      </c>
      <c r="D57" s="2">
        <f t="shared" si="12"/>
        <v>17.076111737970095</v>
      </c>
      <c r="E57" s="2">
        <f t="shared" si="13"/>
        <v>655.79111396914868</v>
      </c>
      <c r="F57" s="25">
        <f t="shared" si="14"/>
        <v>44.212535530659949</v>
      </c>
      <c r="G57">
        <f t="shared" si="15"/>
        <v>4.3971937745799052E-5</v>
      </c>
      <c r="H57">
        <f t="shared" si="16"/>
        <v>1.2856534506486462E-4</v>
      </c>
      <c r="I57" s="51">
        <f t="shared" si="59"/>
        <v>6.9997698683812982E-5</v>
      </c>
      <c r="J57" s="28">
        <f t="shared" si="52"/>
        <v>0.13180536303551846</v>
      </c>
      <c r="K57" s="24">
        <f t="shared" si="53"/>
        <v>21.169512843950066</v>
      </c>
      <c r="L57" s="33">
        <f t="shared" si="54"/>
        <v>14.54758207064868</v>
      </c>
      <c r="M57" s="39">
        <f t="shared" si="55"/>
        <v>575.12208537475988</v>
      </c>
      <c r="N57" s="40">
        <f t="shared" si="63"/>
        <v>300.17075910420431</v>
      </c>
      <c r="O57" s="32">
        <f t="shared" si="18"/>
        <v>634.14323157222361</v>
      </c>
      <c r="P57" s="32">
        <f t="shared" si="19"/>
        <v>15.752271504941243</v>
      </c>
      <c r="Q57" s="33">
        <f t="shared" si="20"/>
        <v>22.191082968724704</v>
      </c>
      <c r="R57" s="33">
        <f t="shared" si="21"/>
        <v>16.07728007308026</v>
      </c>
      <c r="S57" s="39">
        <f t="shared" si="64"/>
        <v>657.29446176152112</v>
      </c>
      <c r="T57" s="36">
        <f t="shared" si="23"/>
        <v>606.47404142997766</v>
      </c>
      <c r="U57" s="36">
        <f t="shared" si="24"/>
        <v>10.356824682160664</v>
      </c>
      <c r="V57" s="37">
        <f t="shared" si="25"/>
        <v>32.278988449707818</v>
      </c>
      <c r="W57" s="40">
        <f t="shared" si="65"/>
        <v>801.59724568301203</v>
      </c>
      <c r="X57" s="32">
        <f t="shared" si="26"/>
        <v>668.55141916200409</v>
      </c>
      <c r="Y57" s="32">
        <f t="shared" si="27"/>
        <v>17.693434920476655</v>
      </c>
      <c r="Z57" s="33">
        <f t="shared" si="28"/>
        <v>20.82845164900462</v>
      </c>
      <c r="AA57" s="33">
        <f t="shared" si="29"/>
        <v>14.10485794125622</v>
      </c>
      <c r="AB57" s="39">
        <f t="shared" si="66"/>
        <v>546.97648805126198</v>
      </c>
      <c r="AC57" s="36">
        <f t="shared" si="31"/>
        <v>786.10731188775992</v>
      </c>
      <c r="AD57" s="36">
        <f t="shared" si="32"/>
        <v>21.468336168617</v>
      </c>
      <c r="AE57" s="37">
        <f t="shared" si="33"/>
        <v>20.184489648290025</v>
      </c>
      <c r="AF57" s="40">
        <f t="shared" si="67"/>
        <v>489.03002626076955</v>
      </c>
      <c r="AG57" s="32">
        <f t="shared" si="34"/>
        <v>626.43385545842489</v>
      </c>
      <c r="AH57" s="32">
        <f t="shared" si="35"/>
        <v>15.122161831649388</v>
      </c>
      <c r="AI57" s="33">
        <f t="shared" si="36"/>
        <v>22.834718599729239</v>
      </c>
      <c r="AJ57" s="33">
        <f t="shared" si="37"/>
        <v>17.209168225627074</v>
      </c>
      <c r="AK57" s="39">
        <f t="shared" si="68"/>
        <v>712.22861136981953</v>
      </c>
      <c r="AL57" s="36">
        <f t="shared" si="38"/>
        <v>615.67530575254443</v>
      </c>
      <c r="AM57" s="36">
        <f t="shared" si="39"/>
        <v>13.880758963628377</v>
      </c>
      <c r="AN57" s="37">
        <f t="shared" si="40"/>
        <v>24.449661245824579</v>
      </c>
      <c r="AO57" s="40">
        <f t="shared" si="69"/>
        <v>687.21584310892729</v>
      </c>
      <c r="AP57" s="32">
        <f t="shared" si="56"/>
        <v>703.56994944200574</v>
      </c>
      <c r="AQ57" s="32">
        <f t="shared" si="41"/>
        <v>19.075504426013978</v>
      </c>
      <c r="AR57" s="33">
        <f t="shared" si="42"/>
        <v>20.331319962255598</v>
      </c>
      <c r="AS57" s="33">
        <f t="shared" si="43"/>
        <v>13.516410306995134</v>
      </c>
      <c r="AT57" s="39">
        <f t="shared" si="70"/>
        <v>498.06823178401652</v>
      </c>
      <c r="AU57" s="36">
        <f t="shared" si="44"/>
        <v>686.28777776423067</v>
      </c>
      <c r="AV57" s="36">
        <f t="shared" si="45"/>
        <v>18.437834467552705</v>
      </c>
      <c r="AW57" s="37">
        <f t="shared" si="46"/>
        <v>20.517794573844892</v>
      </c>
      <c r="AX57" s="40">
        <f t="shared" si="71"/>
        <v>564.76470665724185</v>
      </c>
      <c r="AY57" s="2">
        <f t="shared" si="57"/>
        <v>22.952063387172682</v>
      </c>
      <c r="AZ57" s="2">
        <f t="shared" si="47"/>
        <v>603.64194824165486</v>
      </c>
      <c r="BA57" s="2">
        <f t="shared" si="48"/>
        <v>635.65195542748768</v>
      </c>
      <c r="BB57" s="44">
        <f t="shared" si="60"/>
        <v>635.65195542748768</v>
      </c>
      <c r="BC57">
        <f t="shared" si="49"/>
        <v>210</v>
      </c>
      <c r="BD57" s="2">
        <f t="shared" si="50"/>
        <v>69.997698683812985</v>
      </c>
      <c r="BE57" s="2">
        <f t="shared" si="51"/>
        <v>508.52156434199014</v>
      </c>
      <c r="BF57" s="2">
        <f t="shared" si="62"/>
        <v>29.221525896533624</v>
      </c>
      <c r="BG57" s="24">
        <f t="shared" si="61"/>
        <v>0.41746409447731059</v>
      </c>
    </row>
    <row r="58" spans="1:59" x14ac:dyDescent="0.25">
      <c r="A58">
        <f t="shared" si="11"/>
        <v>216</v>
      </c>
      <c r="B58">
        <v>3.6</v>
      </c>
      <c r="C58" s="2">
        <f t="shared" si="58"/>
        <v>635.65195542748768</v>
      </c>
      <c r="D58" s="2">
        <f t="shared" si="12"/>
        <v>17.167500376812363</v>
      </c>
      <c r="E58" s="2">
        <f t="shared" si="13"/>
        <v>657.57062664023829</v>
      </c>
      <c r="F58" s="25">
        <f t="shared" si="14"/>
        <v>45.356410601577316</v>
      </c>
      <c r="G58">
        <f t="shared" si="15"/>
        <v>4.3413917462704976E-5</v>
      </c>
      <c r="H58">
        <f t="shared" si="16"/>
        <v>1.269338029057739E-4</v>
      </c>
      <c r="I58" s="51">
        <f t="shared" si="59"/>
        <v>6.9181927604267622E-5</v>
      </c>
      <c r="J58" s="28">
        <f t="shared" si="52"/>
        <v>0.1304655288653454</v>
      </c>
      <c r="K58" s="24">
        <f t="shared" si="53"/>
        <v>21.464116508291259</v>
      </c>
      <c r="L58" s="33">
        <f t="shared" si="54"/>
        <v>14.956676280604583</v>
      </c>
      <c r="M58" s="39">
        <f t="shared" si="55"/>
        <v>590.58341480490014</v>
      </c>
      <c r="N58" s="40">
        <f t="shared" si="63"/>
        <v>301.88837052380893</v>
      </c>
      <c r="O58" s="32">
        <f t="shared" si="18"/>
        <v>639.18643233933574</v>
      </c>
      <c r="P58" s="32">
        <f t="shared" si="19"/>
        <v>16.105963355621427</v>
      </c>
      <c r="Q58" s="33">
        <f t="shared" si="20"/>
        <v>22.239167129707731</v>
      </c>
      <c r="R58" s="33">
        <f t="shared" si="21"/>
        <v>16.157187114810647</v>
      </c>
      <c r="S58" s="39">
        <f t="shared" si="64"/>
        <v>656.3368139851259</v>
      </c>
      <c r="T58" s="36">
        <f t="shared" si="23"/>
        <v>606.51408480109217</v>
      </c>
      <c r="U58" s="36">
        <f t="shared" si="24"/>
        <v>10.385273587028035</v>
      </c>
      <c r="V58" s="37">
        <f t="shared" si="25"/>
        <v>32.72658024344377</v>
      </c>
      <c r="W58" s="40">
        <f t="shared" si="65"/>
        <v>808.29836066367409</v>
      </c>
      <c r="X58" s="32">
        <f t="shared" si="26"/>
        <v>668.03377694700259</v>
      </c>
      <c r="Y58" s="32">
        <f t="shared" si="27"/>
        <v>17.66994126332597</v>
      </c>
      <c r="Z58" s="33">
        <f t="shared" si="28"/>
        <v>21.185610976986155</v>
      </c>
      <c r="AA58" s="33">
        <f t="shared" si="29"/>
        <v>14.569289271171179</v>
      </c>
      <c r="AB58" s="39">
        <f t="shared" si="66"/>
        <v>566.27645212225889</v>
      </c>
      <c r="AC58" s="36">
        <f t="shared" si="31"/>
        <v>793.73878925142128</v>
      </c>
      <c r="AD58" s="36">
        <f t="shared" si="32"/>
        <v>21.654967788055011</v>
      </c>
      <c r="AE58" s="37">
        <f t="shared" si="33"/>
        <v>20.539872325663051</v>
      </c>
      <c r="AF58" s="40">
        <f t="shared" si="67"/>
        <v>489.30937991262329</v>
      </c>
      <c r="AG58" s="32">
        <f t="shared" si="34"/>
        <v>631.52277506598148</v>
      </c>
      <c r="AH58" s="32">
        <f t="shared" si="35"/>
        <v>15.55232778639612</v>
      </c>
      <c r="AI58" s="33">
        <f t="shared" si="36"/>
        <v>22.754709416589439</v>
      </c>
      <c r="AJ58" s="33">
        <f t="shared" si="37"/>
        <v>17.061015362443506</v>
      </c>
      <c r="AK58" s="39">
        <f t="shared" si="68"/>
        <v>701.46242853746821</v>
      </c>
      <c r="AL58" s="36">
        <f t="shared" si="38"/>
        <v>615.71302273126275</v>
      </c>
      <c r="AM58" s="36">
        <f t="shared" si="39"/>
        <v>13.886563206571292</v>
      </c>
      <c r="AN58" s="37">
        <f t="shared" si="40"/>
        <v>24.846272353542439</v>
      </c>
      <c r="AO58" s="40">
        <f t="shared" si="69"/>
        <v>693.7684679088029</v>
      </c>
      <c r="AP58" s="32">
        <f t="shared" si="56"/>
        <v>695.84554728325952</v>
      </c>
      <c r="AQ58" s="32">
        <f t="shared" si="41"/>
        <v>18.799315881114389</v>
      </c>
      <c r="AR58" s="33">
        <f t="shared" si="42"/>
        <v>20.741897540353218</v>
      </c>
      <c r="AS58" s="33">
        <f t="shared" si="43"/>
        <v>13.99763522290813</v>
      </c>
      <c r="AT58" s="39">
        <f t="shared" si="70"/>
        <v>522.31244888966944</v>
      </c>
      <c r="AU58" s="36">
        <f t="shared" si="44"/>
        <v>690.5915017994123</v>
      </c>
      <c r="AV58" s="36">
        <f t="shared" si="45"/>
        <v>18.603530849987159</v>
      </c>
      <c r="AW58" s="37">
        <f t="shared" si="46"/>
        <v>20.801925102368575</v>
      </c>
      <c r="AX58" s="40">
        <f t="shared" si="71"/>
        <v>565.96921630612485</v>
      </c>
      <c r="AY58" s="2">
        <f t="shared" si="57"/>
        <v>23.229504386081796</v>
      </c>
      <c r="AZ58" s="2">
        <f t="shared" si="47"/>
        <v>611.59703588363061</v>
      </c>
      <c r="BA58" s="2">
        <f t="shared" si="48"/>
        <v>639.33635619780625</v>
      </c>
      <c r="BB58" s="44">
        <f t="shared" si="60"/>
        <v>639.33635619780625</v>
      </c>
      <c r="BC58">
        <f t="shared" si="49"/>
        <v>216</v>
      </c>
      <c r="BD58" s="2">
        <f t="shared" si="50"/>
        <v>69.181927604267628</v>
      </c>
      <c r="BE58" s="2">
        <f t="shared" si="51"/>
        <v>511.46908495824505</v>
      </c>
      <c r="BF58" s="2">
        <f t="shared" si="62"/>
        <v>28.707983119180639</v>
      </c>
      <c r="BG58" s="24">
        <f t="shared" si="61"/>
        <v>0.41496362002798154</v>
      </c>
    </row>
    <row r="59" spans="1:59" x14ac:dyDescent="0.25">
      <c r="A59">
        <f t="shared" si="11"/>
        <v>222</v>
      </c>
      <c r="B59">
        <v>3.7</v>
      </c>
      <c r="C59" s="2">
        <f t="shared" si="58"/>
        <v>639.33635619780625</v>
      </c>
      <c r="D59" s="2">
        <f t="shared" si="12"/>
        <v>17.256293953052889</v>
      </c>
      <c r="E59" s="2">
        <f t="shared" si="13"/>
        <v>659.33582990753678</v>
      </c>
      <c r="F59" s="25">
        <f t="shared" si="14"/>
        <v>46.500937496283285</v>
      </c>
      <c r="G59">
        <f t="shared" si="15"/>
        <v>4.2876315800032149E-5</v>
      </c>
      <c r="H59">
        <f t="shared" si="16"/>
        <v>1.2536196079891612E-4</v>
      </c>
      <c r="I59" s="51">
        <f t="shared" si="59"/>
        <v>6.8396006550838729E-5</v>
      </c>
      <c r="J59" s="28">
        <f t="shared" si="52"/>
        <v>0.12917145956879911</v>
      </c>
      <c r="K59" s="24">
        <f t="shared" si="53"/>
        <v>21.755753739467171</v>
      </c>
      <c r="L59" s="33">
        <f t="shared" si="54"/>
        <v>15.386840537338252</v>
      </c>
      <c r="M59" s="39">
        <f t="shared" si="55"/>
        <v>606.82579698067855</v>
      </c>
      <c r="N59" s="40">
        <f t="shared" si="63"/>
        <v>303.56057808047149</v>
      </c>
      <c r="O59" s="32">
        <f t="shared" si="18"/>
        <v>645.15435468969258</v>
      </c>
      <c r="P59" s="32">
        <f t="shared" si="19"/>
        <v>16.483289862620104</v>
      </c>
      <c r="Q59" s="33">
        <f t="shared" si="20"/>
        <v>22.286133338464133</v>
      </c>
      <c r="R59" s="33">
        <f t="shared" si="21"/>
        <v>16.235948783745144</v>
      </c>
      <c r="S59" s="39">
        <f t="shared" si="64"/>
        <v>654.38795759459663</v>
      </c>
      <c r="T59" s="36">
        <f t="shared" si="23"/>
        <v>606.55204144609786</v>
      </c>
      <c r="U59" s="36">
        <f t="shared" si="24"/>
        <v>10.413033951873192</v>
      </c>
      <c r="V59" s="37">
        <f t="shared" si="25"/>
        <v>33.166967999206712</v>
      </c>
      <c r="W59" s="40">
        <f t="shared" si="65"/>
        <v>814.85398514014628</v>
      </c>
      <c r="X59" s="32">
        <f t="shared" si="26"/>
        <v>666.98961470661254</v>
      </c>
      <c r="Y59" s="32">
        <f t="shared" si="27"/>
        <v>17.622194052881007</v>
      </c>
      <c r="Z59" s="33">
        <f t="shared" si="28"/>
        <v>21.551330145572553</v>
      </c>
      <c r="AA59" s="33">
        <f t="shared" si="29"/>
        <v>15.082653611153127</v>
      </c>
      <c r="AB59" s="39">
        <f t="shared" si="66"/>
        <v>588.00354486198978</v>
      </c>
      <c r="AC59" s="36">
        <f t="shared" si="31"/>
        <v>801.41457001208255</v>
      </c>
      <c r="AD59" s="36">
        <f t="shared" si="32"/>
        <v>21.838520725582548</v>
      </c>
      <c r="AE59" s="37">
        <f t="shared" si="33"/>
        <v>20.895318915441642</v>
      </c>
      <c r="AF59" s="40">
        <f t="shared" si="67"/>
        <v>489.51076269128833</v>
      </c>
      <c r="AG59" s="32">
        <f t="shared" si="34"/>
        <v>638.30275950627663</v>
      </c>
      <c r="AH59" s="32">
        <f t="shared" si="35"/>
        <v>16.046574300771724</v>
      </c>
      <c r="AI59" s="33">
        <f t="shared" si="36"/>
        <v>22.649539575347053</v>
      </c>
      <c r="AJ59" s="33">
        <f t="shared" si="37"/>
        <v>16.869536981756333</v>
      </c>
      <c r="AK59" s="39">
        <f t="shared" si="68"/>
        <v>687.22302157482727</v>
      </c>
      <c r="AL59" s="36">
        <f t="shared" si="38"/>
        <v>615.74028797555491</v>
      </c>
      <c r="AM59" s="36">
        <f t="shared" si="39"/>
        <v>13.890748501683248</v>
      </c>
      <c r="AN59" s="37">
        <f t="shared" si="40"/>
        <v>25.239858137788133</v>
      </c>
      <c r="AO59" s="40">
        <f t="shared" si="69"/>
        <v>700.23023819040452</v>
      </c>
      <c r="AP59" s="32">
        <f t="shared" si="56"/>
        <v>686.29240764988003</v>
      </c>
      <c r="AQ59" s="32">
        <f t="shared" si="41"/>
        <v>18.438015463348084</v>
      </c>
      <c r="AR59" s="33">
        <f t="shared" si="42"/>
        <v>21.193857351684681</v>
      </c>
      <c r="AS59" s="33">
        <f t="shared" si="43"/>
        <v>14.580437616006357</v>
      </c>
      <c r="AT59" s="39">
        <f t="shared" si="70"/>
        <v>552.43682889207628</v>
      </c>
      <c r="AU59" s="36">
        <f t="shared" si="44"/>
        <v>694.98935442808397</v>
      </c>
      <c r="AV59" s="36">
        <f t="shared" si="45"/>
        <v>18.767871667563107</v>
      </c>
      <c r="AW59" s="37">
        <f t="shared" si="46"/>
        <v>21.08521892400692</v>
      </c>
      <c r="AX59" s="40">
        <f t="shared" si="71"/>
        <v>567.02979750218822</v>
      </c>
      <c r="AY59" s="2">
        <f t="shared" si="57"/>
        <v>23.508528048438983</v>
      </c>
      <c r="AZ59" s="2">
        <f t="shared" si="47"/>
        <v>620.51283823087249</v>
      </c>
      <c r="BA59" s="2">
        <f t="shared" si="48"/>
        <v>642.90619588100685</v>
      </c>
      <c r="BB59" s="44">
        <f t="shared" si="60"/>
        <v>642.90619588100685</v>
      </c>
      <c r="BC59">
        <f t="shared" si="49"/>
        <v>222</v>
      </c>
      <c r="BD59" s="2">
        <f t="shared" si="50"/>
        <v>68.396006550838734</v>
      </c>
      <c r="BE59" s="2">
        <f t="shared" si="51"/>
        <v>514.32495670480546</v>
      </c>
      <c r="BF59" s="2">
        <f t="shared" si="62"/>
        <v>28.212919017472288</v>
      </c>
      <c r="BG59" s="24">
        <f t="shared" si="61"/>
        <v>0.41249365920949832</v>
      </c>
    </row>
    <row r="60" spans="1:59" x14ac:dyDescent="0.25">
      <c r="A60">
        <f t="shared" si="11"/>
        <v>228</v>
      </c>
      <c r="B60">
        <v>3.8</v>
      </c>
      <c r="C60" s="2">
        <f t="shared" si="58"/>
        <v>642.90619588100685</v>
      </c>
      <c r="D60" s="2">
        <f t="shared" si="12"/>
        <v>17.342616662615988</v>
      </c>
      <c r="E60" s="2">
        <f t="shared" si="13"/>
        <v>661.08627591294021</v>
      </c>
      <c r="F60" s="25">
        <f t="shared" si="14"/>
        <v>47.646165080032269</v>
      </c>
      <c r="G60">
        <f t="shared" si="15"/>
        <v>4.2357892107373848E-5</v>
      </c>
      <c r="H60">
        <f t="shared" si="16"/>
        <v>1.2384619132517298E-4</v>
      </c>
      <c r="I60" s="51">
        <f t="shared" si="59"/>
        <v>6.7638121813967162E-5</v>
      </c>
      <c r="J60" s="28">
        <f t="shared" si="52"/>
        <v>0.1279204769312341</v>
      </c>
      <c r="K60" s="24">
        <f t="shared" si="53"/>
        <v>22.044546601488467</v>
      </c>
      <c r="L60" s="33">
        <f t="shared" si="54"/>
        <v>15.838278739657426</v>
      </c>
      <c r="M60" s="39">
        <f t="shared" si="55"/>
        <v>623.85521275015208</v>
      </c>
      <c r="N60" s="40">
        <f t="shared" si="63"/>
        <v>305.18988385810866</v>
      </c>
      <c r="O60" s="32">
        <f t="shared" si="18"/>
        <v>652.19583461900322</v>
      </c>
      <c r="P60" s="32">
        <f t="shared" si="19"/>
        <v>16.885245845732513</v>
      </c>
      <c r="Q60" s="33">
        <f t="shared" si="20"/>
        <v>22.337177061783066</v>
      </c>
      <c r="R60" s="33">
        <f t="shared" si="21"/>
        <v>16.322350661027166</v>
      </c>
      <c r="S60" s="39">
        <f t="shared" si="64"/>
        <v>651.68638935351339</v>
      </c>
      <c r="T60" s="36">
        <f t="shared" si="23"/>
        <v>606.58809472174073</v>
      </c>
      <c r="U60" s="36">
        <f t="shared" si="24"/>
        <v>10.440142349831078</v>
      </c>
      <c r="V60" s="37">
        <f t="shared" si="25"/>
        <v>33.600451744045124</v>
      </c>
      <c r="W60" s="40">
        <f t="shared" si="65"/>
        <v>821.27076105968354</v>
      </c>
      <c r="X60" s="32">
        <f t="shared" si="26"/>
        <v>665.5625876537224</v>
      </c>
      <c r="Y60" s="32">
        <f t="shared" si="27"/>
        <v>17.556146024220034</v>
      </c>
      <c r="Z60" s="33">
        <f t="shared" si="28"/>
        <v>21.923877732364165</v>
      </c>
      <c r="AA60" s="33">
        <f t="shared" si="29"/>
        <v>15.646518650425328</v>
      </c>
      <c r="AB60" s="39">
        <f t="shared" si="66"/>
        <v>612.15695527977471</v>
      </c>
      <c r="AC60" s="36">
        <f t="shared" si="31"/>
        <v>809.13171461178581</v>
      </c>
      <c r="AD60" s="36">
        <f t="shared" si="32"/>
        <v>22.019118298887474</v>
      </c>
      <c r="AE60" s="37">
        <f t="shared" si="33"/>
        <v>21.250881696173167</v>
      </c>
      <c r="AF60" s="40">
        <f t="shared" si="67"/>
        <v>489.64005518605387</v>
      </c>
      <c r="AG60" s="32">
        <f t="shared" si="34"/>
        <v>647.27009439202197</v>
      </c>
      <c r="AH60" s="32">
        <f t="shared" si="35"/>
        <v>16.608426045298316</v>
      </c>
      <c r="AI60" s="33">
        <f t="shared" si="36"/>
        <v>22.53796598951261</v>
      </c>
      <c r="AJ60" s="33">
        <f t="shared" si="37"/>
        <v>16.670415261275274</v>
      </c>
      <c r="AK60" s="39">
        <f t="shared" si="68"/>
        <v>670.64832474848674</v>
      </c>
      <c r="AL60" s="36">
        <f t="shared" si="38"/>
        <v>615.75782629921434</v>
      </c>
      <c r="AM60" s="36">
        <f t="shared" si="39"/>
        <v>13.89343603872419</v>
      </c>
      <c r="AN60" s="37">
        <f t="shared" si="40"/>
        <v>25.630550173998589</v>
      </c>
      <c r="AO60" s="40">
        <f t="shared" si="69"/>
        <v>706.60500511568046</v>
      </c>
      <c r="AP60" s="32">
        <f t="shared" si="56"/>
        <v>676.08749560523574</v>
      </c>
      <c r="AQ60" s="32">
        <f t="shared" si="41"/>
        <v>18.023181314495201</v>
      </c>
      <c r="AR60" s="33">
        <f t="shared" si="42"/>
        <v>21.693474024715044</v>
      </c>
      <c r="AS60" s="33">
        <f t="shared" si="43"/>
        <v>15.29283411768386</v>
      </c>
      <c r="AT60" s="39">
        <f t="shared" si="70"/>
        <v>589.00508183622924</v>
      </c>
      <c r="AU60" s="36">
        <f t="shared" si="44"/>
        <v>699.48036293426969</v>
      </c>
      <c r="AV60" s="36">
        <f t="shared" si="45"/>
        <v>18.930916242686727</v>
      </c>
      <c r="AW60" s="37">
        <f t="shared" si="46"/>
        <v>21.367885456168676</v>
      </c>
      <c r="AX60" s="40">
        <f t="shared" si="71"/>
        <v>567.95369881642887</v>
      </c>
      <c r="AY60" s="2">
        <f t="shared" si="57"/>
        <v>23.792782984845054</v>
      </c>
      <c r="AZ60" s="2">
        <f t="shared" si="47"/>
        <v>630.87418780450093</v>
      </c>
      <c r="BA60" s="2">
        <f t="shared" si="48"/>
        <v>646.3673800444617</v>
      </c>
      <c r="BB60" s="44">
        <f t="shared" si="60"/>
        <v>646.3673800444617</v>
      </c>
      <c r="BC60">
        <f t="shared" si="49"/>
        <v>228</v>
      </c>
      <c r="BD60" s="2">
        <f t="shared" si="50"/>
        <v>67.63812181396716</v>
      </c>
      <c r="BE60" s="2">
        <f t="shared" si="51"/>
        <v>517.09390403556938</v>
      </c>
      <c r="BF60" s="2">
        <f t="shared" si="62"/>
        <v>27.733131664989873</v>
      </c>
      <c r="BG60" s="24">
        <f t="shared" si="61"/>
        <v>0.41002220229100195</v>
      </c>
    </row>
    <row r="61" spans="1:59" x14ac:dyDescent="0.25">
      <c r="A61">
        <f t="shared" si="11"/>
        <v>234</v>
      </c>
      <c r="B61">
        <v>3.9</v>
      </c>
      <c r="C61" s="2">
        <f t="shared" si="58"/>
        <v>646.3673800444617</v>
      </c>
      <c r="D61" s="2">
        <f t="shared" si="12"/>
        <v>17.42658451987468</v>
      </c>
      <c r="E61" s="2">
        <f t="shared" si="13"/>
        <v>662.82159989540946</v>
      </c>
      <c r="F61" s="25">
        <f t="shared" si="14"/>
        <v>48.792134837048998</v>
      </c>
      <c r="G61">
        <f t="shared" si="15"/>
        <v>4.1857511487023284E-5</v>
      </c>
      <c r="H61">
        <f t="shared" si="16"/>
        <v>1.2238317626563566E-4</v>
      </c>
      <c r="I61" s="51">
        <f t="shared" si="59"/>
        <v>6.6906614284198499E-5</v>
      </c>
      <c r="J61" s="28">
        <f t="shared" si="52"/>
        <v>0.12671012582388666</v>
      </c>
      <c r="K61" s="24">
        <f t="shared" si="53"/>
        <v>22.330608336610673</v>
      </c>
      <c r="L61" s="33">
        <f t="shared" si="54"/>
        <v>16.311184767923358</v>
      </c>
      <c r="M61" s="39">
        <f t="shared" si="55"/>
        <v>641.67712949113582</v>
      </c>
      <c r="N61" s="40">
        <f t="shared" si="63"/>
        <v>306.77859388551718</v>
      </c>
      <c r="O61" s="32">
        <f t="shared" si="18"/>
        <v>660.4791239892046</v>
      </c>
      <c r="P61" s="32">
        <f t="shared" si="19"/>
        <v>17.312864242937174</v>
      </c>
      <c r="Q61" s="33">
        <f t="shared" si="20"/>
        <v>22.3978509583532</v>
      </c>
      <c r="R61" s="33">
        <f t="shared" si="21"/>
        <v>16.426146243292358</v>
      </c>
      <c r="S61" s="39">
        <f t="shared" si="64"/>
        <v>648.49151152510979</v>
      </c>
      <c r="T61" s="36">
        <f t="shared" si="23"/>
        <v>606.6224089690071</v>
      </c>
      <c r="U61" s="36">
        <f t="shared" si="24"/>
        <v>10.46663257541918</v>
      </c>
      <c r="V61" s="37">
        <f t="shared" si="25"/>
        <v>34.027312474773517</v>
      </c>
      <c r="W61" s="40">
        <f t="shared" si="65"/>
        <v>827.55487036732893</v>
      </c>
      <c r="X61" s="32">
        <f t="shared" si="26"/>
        <v>663.90535709250616</v>
      </c>
      <c r="Y61" s="32">
        <f t="shared" si="27"/>
        <v>17.478248537001939</v>
      </c>
      <c r="Z61" s="33">
        <f t="shared" si="28"/>
        <v>22.301005308843539</v>
      </c>
      <c r="AA61" s="33">
        <f t="shared" si="29"/>
        <v>16.261036173575</v>
      </c>
      <c r="AB61" s="39">
        <f t="shared" si="66"/>
        <v>638.66004733170189</v>
      </c>
      <c r="AC61" s="36">
        <f t="shared" si="31"/>
        <v>816.8874764593395</v>
      </c>
      <c r="AD61" s="36">
        <f t="shared" si="32"/>
        <v>22.196875937856461</v>
      </c>
      <c r="AE61" s="37">
        <f t="shared" si="33"/>
        <v>21.606606470635274</v>
      </c>
      <c r="AF61" s="40">
        <f t="shared" si="67"/>
        <v>489.70266406846076</v>
      </c>
      <c r="AG61" s="32">
        <f t="shared" si="34"/>
        <v>659.0086713382442</v>
      </c>
      <c r="AH61" s="32">
        <f t="shared" si="35"/>
        <v>17.239972212643909</v>
      </c>
      <c r="AI61" s="33">
        <f t="shared" si="36"/>
        <v>22.442474808257316</v>
      </c>
      <c r="AJ61" s="33">
        <f t="shared" si="37"/>
        <v>16.50324613666772</v>
      </c>
      <c r="AK61" s="39">
        <f t="shared" si="68"/>
        <v>652.98913287378332</v>
      </c>
      <c r="AL61" s="36">
        <f t="shared" si="38"/>
        <v>615.76632848807708</v>
      </c>
      <c r="AM61" s="36">
        <f t="shared" si="39"/>
        <v>13.89473759214466</v>
      </c>
      <c r="AN61" s="37">
        <f t="shared" si="40"/>
        <v>26.01847070627084</v>
      </c>
      <c r="AO61" s="40">
        <f t="shared" si="69"/>
        <v>712.89631503352496</v>
      </c>
      <c r="AP61" s="32">
        <f t="shared" si="56"/>
        <v>666.24777295182957</v>
      </c>
      <c r="AQ61" s="32">
        <f t="shared" si="41"/>
        <v>17.587975130514614</v>
      </c>
      <c r="AR61" s="33">
        <f t="shared" si="42"/>
        <v>22.240067764430599</v>
      </c>
      <c r="AS61" s="33">
        <f t="shared" si="43"/>
        <v>16.15869083448171</v>
      </c>
      <c r="AT61" s="39">
        <f t="shared" si="70"/>
        <v>632.40909515856526</v>
      </c>
      <c r="AU61" s="36">
        <f t="shared" si="44"/>
        <v>704.06356090801046</v>
      </c>
      <c r="AV61" s="36">
        <f t="shared" si="45"/>
        <v>19.092718760699057</v>
      </c>
      <c r="AW61" s="37">
        <f t="shared" si="46"/>
        <v>21.650118170397864</v>
      </c>
      <c r="AX61" s="40">
        <f t="shared" si="71"/>
        <v>568.74774982142105</v>
      </c>
      <c r="AY61" s="2">
        <f t="shared" si="57"/>
        <v>24.085488332745264</v>
      </c>
      <c r="AZ61" s="2">
        <f t="shared" si="47"/>
        <v>643.13744672229006</v>
      </c>
      <c r="BA61" s="2">
        <f t="shared" si="48"/>
        <v>649.72539982268393</v>
      </c>
      <c r="BB61" s="44">
        <f t="shared" si="60"/>
        <v>649.72539982268393</v>
      </c>
      <c r="BC61">
        <f t="shared" si="49"/>
        <v>234</v>
      </c>
      <c r="BD61" s="2">
        <f t="shared" si="50"/>
        <v>66.906614284198497</v>
      </c>
      <c r="BE61" s="2">
        <f t="shared" si="51"/>
        <v>519.78031985814721</v>
      </c>
      <c r="BF61" s="2">
        <f t="shared" si="62"/>
        <v>27.265993146266318</v>
      </c>
      <c r="BG61" s="24">
        <f t="shared" si="61"/>
        <v>0.40752313411718694</v>
      </c>
    </row>
    <row r="62" spans="1:59" x14ac:dyDescent="0.25">
      <c r="A62">
        <f t="shared" si="11"/>
        <v>240</v>
      </c>
      <c r="B62">
        <v>4</v>
      </c>
      <c r="C62" s="2">
        <f t="shared" si="58"/>
        <v>649.72539982268393</v>
      </c>
      <c r="D62" s="2">
        <f t="shared" si="12"/>
        <v>17.508306092215918</v>
      </c>
      <c r="E62" s="2">
        <f t="shared" si="13"/>
        <v>664.54151135540258</v>
      </c>
      <c r="F62" s="25">
        <f t="shared" si="14"/>
        <v>49.938881759390064</v>
      </c>
      <c r="G62">
        <f t="shared" si="15"/>
        <v>4.1374133238925725E-5</v>
      </c>
      <c r="H62">
        <f t="shared" si="16"/>
        <v>1.2096987281690489E-4</v>
      </c>
      <c r="I62" s="51">
        <f t="shared" si="59"/>
        <v>6.6199962559833117E-5</v>
      </c>
      <c r="J62" s="28">
        <f t="shared" si="52"/>
        <v>0.12553815020172371</v>
      </c>
      <c r="K62" s="24">
        <f t="shared" si="53"/>
        <v>22.614044240217659</v>
      </c>
      <c r="L62" s="33">
        <f t="shared" si="54"/>
        <v>16.805743202753838</v>
      </c>
      <c r="M62" s="39">
        <f t="shared" si="55"/>
        <v>660.29654801124707</v>
      </c>
      <c r="N62" s="40">
        <f t="shared" si="63"/>
        <v>308.32883681998118</v>
      </c>
      <c r="O62" s="32">
        <f t="shared" si="18"/>
        <v>670.19371191438495</v>
      </c>
      <c r="P62" s="32">
        <f t="shared" si="19"/>
        <v>17.767217252204823</v>
      </c>
      <c r="Q62" s="33">
        <f t="shared" si="20"/>
        <v>22.474042055154108</v>
      </c>
      <c r="R62" s="33">
        <f t="shared" si="21"/>
        <v>16.5581786100228</v>
      </c>
      <c r="S62" s="39">
        <f t="shared" si="64"/>
        <v>645.08305308365834</v>
      </c>
      <c r="T62" s="36">
        <f t="shared" si="23"/>
        <v>606.65513183609835</v>
      </c>
      <c r="U62" s="36">
        <f t="shared" si="24"/>
        <v>10.492535899657558</v>
      </c>
      <c r="V62" s="37">
        <f t="shared" si="25"/>
        <v>34.447813815945054</v>
      </c>
      <c r="W62" s="40">
        <f t="shared" si="65"/>
        <v>833.71207797286002</v>
      </c>
      <c r="X62" s="32">
        <f t="shared" si="26"/>
        <v>662.17326950132053</v>
      </c>
      <c r="Y62" s="32">
        <f t="shared" si="27"/>
        <v>17.395395609489746</v>
      </c>
      <c r="Z62" s="33">
        <f t="shared" si="28"/>
        <v>22.679714776176898</v>
      </c>
      <c r="AA62" s="33">
        <f t="shared" si="29"/>
        <v>16.924098251603041</v>
      </c>
      <c r="AB62" s="39">
        <f t="shared" si="66"/>
        <v>667.32487109380384</v>
      </c>
      <c r="AC62" s="36">
        <f t="shared" si="31"/>
        <v>824.67928712930234</v>
      </c>
      <c r="AD62" s="36">
        <f t="shared" si="32"/>
        <v>22.371901890021121</v>
      </c>
      <c r="AE62" s="37">
        <f t="shared" si="33"/>
        <v>21.962533351070551</v>
      </c>
      <c r="AF62" s="40">
        <f t="shared" si="67"/>
        <v>489.70356590977678</v>
      </c>
      <c r="AG62" s="32">
        <f t="shared" si="34"/>
        <v>674.15588096750434</v>
      </c>
      <c r="AH62" s="32">
        <f t="shared" si="35"/>
        <v>17.940742050241205</v>
      </c>
      <c r="AI62" s="33">
        <f t="shared" si="36"/>
        <v>22.388251589095265</v>
      </c>
      <c r="AJ62" s="33">
        <f t="shared" si="37"/>
        <v>16.409645185797089</v>
      </c>
      <c r="AK62" s="39">
        <f t="shared" si="68"/>
        <v>635.53911056153629</v>
      </c>
      <c r="AL62" s="36">
        <f t="shared" si="38"/>
        <v>615.7664510015195</v>
      </c>
      <c r="AM62" s="36">
        <f t="shared" si="39"/>
        <v>13.894756340839221</v>
      </c>
      <c r="AN62" s="37">
        <f t="shared" si="40"/>
        <v>26.403733539307144</v>
      </c>
      <c r="AO62" s="40">
        <f t="shared" si="69"/>
        <v>719.10744246510035</v>
      </c>
      <c r="AP62" s="32">
        <f t="shared" si="56"/>
        <v>657.5172210597193</v>
      </c>
      <c r="AQ62" s="32">
        <f t="shared" si="41"/>
        <v>17.16478562951179</v>
      </c>
      <c r="AR62" s="33">
        <f t="shared" si="42"/>
        <v>22.822804036413284</v>
      </c>
      <c r="AS62" s="33">
        <f t="shared" si="43"/>
        <v>17.18696931640379</v>
      </c>
      <c r="AT62" s="39">
        <f t="shared" si="70"/>
        <v>682.48889347015574</v>
      </c>
      <c r="AU62" s="36">
        <f t="shared" si="44"/>
        <v>708.73798754575125</v>
      </c>
      <c r="AV62" s="36">
        <f t="shared" si="45"/>
        <v>19.2533288396647</v>
      </c>
      <c r="AW62" s="37">
        <f t="shared" si="46"/>
        <v>21.932095882163079</v>
      </c>
      <c r="AX62" s="40">
        <f t="shared" si="71"/>
        <v>569.41839537236922</v>
      </c>
      <c r="AY62" s="2">
        <f t="shared" si="57"/>
        <v>24.388873630665675</v>
      </c>
      <c r="AZ62" s="2">
        <f t="shared" si="47"/>
        <v>657.60898205228852</v>
      </c>
      <c r="BA62" s="2">
        <f t="shared" si="48"/>
        <v>652.98537043002671</v>
      </c>
      <c r="BB62" s="44">
        <f t="shared" si="60"/>
        <v>652.98537043002671</v>
      </c>
      <c r="BC62">
        <f t="shared" si="49"/>
        <v>240</v>
      </c>
      <c r="BD62" s="2">
        <f t="shared" si="50"/>
        <v>66.199962559833111</v>
      </c>
      <c r="BE62" s="2">
        <f t="shared" si="51"/>
        <v>522.38829634402134</v>
      </c>
      <c r="BF62" s="2">
        <f t="shared" si="62"/>
        <v>26.8096946603698</v>
      </c>
      <c r="BG62" s="24">
        <f t="shared" si="61"/>
        <v>0.40498051092005616</v>
      </c>
    </row>
    <row r="63" spans="1:59" x14ac:dyDescent="0.25">
      <c r="A63">
        <f t="shared" si="11"/>
        <v>245.99999999999997</v>
      </c>
      <c r="B63">
        <v>4.0999999999999996</v>
      </c>
      <c r="C63" s="2">
        <f t="shared" si="58"/>
        <v>652.98537043002671</v>
      </c>
      <c r="D63" s="2">
        <f t="shared" si="12"/>
        <v>17.587883150374022</v>
      </c>
      <c r="E63" s="2">
        <f t="shared" si="13"/>
        <v>666.2457861675598</v>
      </c>
      <c r="F63" s="25">
        <f t="shared" si="14"/>
        <v>51.086435127829262</v>
      </c>
      <c r="G63">
        <f t="shared" si="15"/>
        <v>4.0906800831912853E-5</v>
      </c>
      <c r="H63">
        <f t="shared" si="16"/>
        <v>1.1960348426894184E-4</v>
      </c>
      <c r="I63" s="51">
        <f t="shared" si="59"/>
        <v>6.5516768285851592E-5</v>
      </c>
      <c r="J63" s="28">
        <f t="shared" si="52"/>
        <v>0.12440247223517445</v>
      </c>
      <c r="K63" s="24">
        <f t="shared" si="53"/>
        <v>22.89495243001539</v>
      </c>
      <c r="L63" s="33">
        <f t="shared" si="54"/>
        <v>17.322129971441107</v>
      </c>
      <c r="M63" s="39">
        <f t="shared" si="55"/>
        <v>679.71804406114882</v>
      </c>
      <c r="N63" s="40">
        <f t="shared" si="63"/>
        <v>309.84258050889963</v>
      </c>
      <c r="O63" s="32">
        <f t="shared" si="18"/>
        <v>681.55224105657589</v>
      </c>
      <c r="P63" s="32">
        <f t="shared" si="19"/>
        <v>18.249417330210399</v>
      </c>
      <c r="Q63" s="33">
        <f t="shared" si="20"/>
        <v>22.571945304952443</v>
      </c>
      <c r="R63" s="33">
        <f t="shared" si="21"/>
        <v>16.730621749056994</v>
      </c>
      <c r="S63" s="39">
        <f t="shared" si="64"/>
        <v>641.76335033964961</v>
      </c>
      <c r="T63" s="36">
        <f t="shared" si="23"/>
        <v>606.68639627575612</v>
      </c>
      <c r="U63" s="36">
        <f t="shared" si="24"/>
        <v>10.517881297197231</v>
      </c>
      <c r="V63" s="37">
        <f t="shared" si="25"/>
        <v>34.862203496351867</v>
      </c>
      <c r="W63" s="40">
        <f t="shared" si="65"/>
        <v>839.74776972485847</v>
      </c>
      <c r="X63" s="32">
        <f t="shared" si="26"/>
        <v>660.52156248898109</v>
      </c>
      <c r="Y63" s="32">
        <f t="shared" si="27"/>
        <v>17.314950316134087</v>
      </c>
      <c r="Z63" s="33">
        <f t="shared" si="28"/>
        <v>23.056033353443681</v>
      </c>
      <c r="AA63" s="33">
        <f t="shared" si="29"/>
        <v>17.630297328468977</v>
      </c>
      <c r="AB63" s="39">
        <f t="shared" si="66"/>
        <v>697.80586992578105</v>
      </c>
      <c r="AC63" s="36">
        <f t="shared" si="31"/>
        <v>832.50474297876076</v>
      </c>
      <c r="AD63" s="36">
        <f t="shared" si="32"/>
        <v>22.5442978463863</v>
      </c>
      <c r="AE63" s="37">
        <f t="shared" si="33"/>
        <v>22.318697441324296</v>
      </c>
      <c r="AF63" s="40">
        <f t="shared" si="67"/>
        <v>489.64734623969184</v>
      </c>
      <c r="AG63" s="32">
        <f t="shared" si="34"/>
        <v>693.32126140376226</v>
      </c>
      <c r="AH63" s="32">
        <f t="shared" si="35"/>
        <v>18.706103602223383</v>
      </c>
      <c r="AI63" s="33">
        <f t="shared" si="36"/>
        <v>22.401135088687329</v>
      </c>
      <c r="AJ63" s="33">
        <f t="shared" si="37"/>
        <v>16.431798432625222</v>
      </c>
      <c r="AK63" s="39">
        <f t="shared" si="68"/>
        <v>619.60164447426325</v>
      </c>
      <c r="AL63" s="36">
        <f t="shared" si="38"/>
        <v>615.75881609757005</v>
      </c>
      <c r="AM63" s="36">
        <f t="shared" si="39"/>
        <v>13.893587605284988</v>
      </c>
      <c r="AN63" s="37">
        <f t="shared" si="40"/>
        <v>26.78644482388767</v>
      </c>
      <c r="AO63" s="40">
        <f t="shared" si="69"/>
        <v>725.24141887643077</v>
      </c>
      <c r="AP63" s="32">
        <f t="shared" si="56"/>
        <v>650.35910309901794</v>
      </c>
      <c r="AQ63" s="32">
        <f t="shared" si="41"/>
        <v>16.784237564491633</v>
      </c>
      <c r="AR63" s="33">
        <f t="shared" si="42"/>
        <v>23.419113285976294</v>
      </c>
      <c r="AS63" s="33">
        <f t="shared" si="43"/>
        <v>18.357947793999976</v>
      </c>
      <c r="AT63" s="39">
        <f t="shared" si="70"/>
        <v>737.9601125407853</v>
      </c>
      <c r="AU63" s="36">
        <f t="shared" si="44"/>
        <v>713.50268722621706</v>
      </c>
      <c r="AV63" s="36">
        <f t="shared" si="45"/>
        <v>19.412792028690216</v>
      </c>
      <c r="AW63" s="37">
        <f t="shared" si="46"/>
        <v>22.213983915219064</v>
      </c>
      <c r="AX63" s="40">
        <f t="shared" si="71"/>
        <v>569.97172594430356</v>
      </c>
      <c r="AY63" s="2">
        <f t="shared" si="57"/>
        <v>24.703694588730325</v>
      </c>
      <c r="AZ63" s="2">
        <f t="shared" si="47"/>
        <v>674.28274432011983</v>
      </c>
      <c r="BA63" s="2">
        <f t="shared" si="48"/>
        <v>656.15206519632113</v>
      </c>
      <c r="BB63" s="44">
        <f t="shared" si="60"/>
        <v>656.15206519632113</v>
      </c>
      <c r="BC63">
        <f t="shared" si="49"/>
        <v>245.99999999999997</v>
      </c>
      <c r="BD63" s="2">
        <f t="shared" si="50"/>
        <v>65.516768285851597</v>
      </c>
      <c r="BE63" s="2">
        <f t="shared" si="51"/>
        <v>524.92165215705688</v>
      </c>
      <c r="BF63" s="2">
        <f t="shared" si="62"/>
        <v>26.363405396783879</v>
      </c>
      <c r="BG63" s="24">
        <f t="shared" si="61"/>
        <v>0.40239172484454</v>
      </c>
    </row>
    <row r="64" spans="1:59" x14ac:dyDescent="0.25">
      <c r="A64">
        <f t="shared" si="11"/>
        <v>252</v>
      </c>
      <c r="B64">
        <v>4.2</v>
      </c>
      <c r="C64" s="2">
        <f t="shared" si="58"/>
        <v>656.15206519632113</v>
      </c>
      <c r="D64" s="2">
        <f t="shared" si="12"/>
        <v>17.665411246035525</v>
      </c>
      <c r="E64" s="2">
        <f t="shared" si="13"/>
        <v>667.93425952603297</v>
      </c>
      <c r="F64" s="25">
        <f t="shared" si="14"/>
        <v>52.234819199294115</v>
      </c>
      <c r="G64">
        <f t="shared" si="15"/>
        <v>4.0454633166832145E-5</v>
      </c>
      <c r="H64">
        <f t="shared" si="16"/>
        <v>1.182814344601674E-4</v>
      </c>
      <c r="I64" s="51">
        <f t="shared" si="59"/>
        <v>6.4855743381464379E-5</v>
      </c>
      <c r="J64" s="28">
        <f t="shared" si="52"/>
        <v>0.12330117409903485</v>
      </c>
      <c r="K64" s="24">
        <f t="shared" si="53"/>
        <v>23.173424524415122</v>
      </c>
      <c r="L64" s="33">
        <f t="shared" si="54"/>
        <v>17.860512932506452</v>
      </c>
      <c r="M64" s="39">
        <f t="shared" si="55"/>
        <v>699.94580520706688</v>
      </c>
      <c r="N64" s="40">
        <f t="shared" si="63"/>
        <v>311.3216467138152</v>
      </c>
      <c r="O64" s="32">
        <f t="shared" si="18"/>
        <v>694.79251892735351</v>
      </c>
      <c r="P64" s="32">
        <f t="shared" si="19"/>
        <v>18.760618065675452</v>
      </c>
      <c r="Q64" s="33">
        <f t="shared" si="20"/>
        <v>22.69803397187825</v>
      </c>
      <c r="R64" s="33">
        <f t="shared" si="21"/>
        <v>16.957370011829546</v>
      </c>
      <c r="S64" s="39">
        <f t="shared" si="64"/>
        <v>638.86275619236721</v>
      </c>
      <c r="T64" s="36">
        <f t="shared" si="23"/>
        <v>606.71632226813756</v>
      </c>
      <c r="U64" s="36">
        <f t="shared" si="24"/>
        <v>10.542695649110804</v>
      </c>
      <c r="V64" s="37">
        <f t="shared" si="25"/>
        <v>35.270714667623146</v>
      </c>
      <c r="W64" s="40">
        <f t="shared" si="65"/>
        <v>845.66698607763942</v>
      </c>
      <c r="X64" s="32">
        <f t="shared" si="26"/>
        <v>659.10658140165833</v>
      </c>
      <c r="Y64" s="32">
        <f t="shared" si="27"/>
        <v>17.24486322380578</v>
      </c>
      <c r="Z64" s="33">
        <f t="shared" si="28"/>
        <v>23.424813626188989</v>
      </c>
      <c r="AA64" s="33">
        <f t="shared" si="29"/>
        <v>18.369742642913799</v>
      </c>
      <c r="AB64" s="39">
        <f t="shared" si="66"/>
        <v>729.54423759597307</v>
      </c>
      <c r="AC64" s="36">
        <f t="shared" si="31"/>
        <v>840.36159301538191</v>
      </c>
      <c r="AD64" s="36">
        <f t="shared" si="32"/>
        <v>22.714159498308767</v>
      </c>
      <c r="AE64" s="37">
        <f t="shared" si="33"/>
        <v>22.675129430937417</v>
      </c>
      <c r="AF64" s="40">
        <f t="shared" si="67"/>
        <v>489.53823445665444</v>
      </c>
      <c r="AG64" s="32">
        <f t="shared" si="34"/>
        <v>716.934242831951</v>
      </c>
      <c r="AH64" s="32">
        <f t="shared" si="35"/>
        <v>19.52515411281874</v>
      </c>
      <c r="AI64" s="33">
        <f t="shared" si="36"/>
        <v>22.504279013884293</v>
      </c>
      <c r="AJ64" s="33">
        <f t="shared" si="37"/>
        <v>16.611101336249014</v>
      </c>
      <c r="AK64" s="39">
        <f t="shared" si="68"/>
        <v>606.48953484629726</v>
      </c>
      <c r="AL64" s="36">
        <f t="shared" si="38"/>
        <v>615.74401229144814</v>
      </c>
      <c r="AM64" s="36">
        <f t="shared" si="39"/>
        <v>13.891319511907657</v>
      </c>
      <c r="AN64" s="37">
        <f t="shared" si="40"/>
        <v>27.166703751041521</v>
      </c>
      <c r="AO64" s="40">
        <f t="shared" si="69"/>
        <v>731.30105784326145</v>
      </c>
      <c r="AP64" s="32">
        <f t="shared" si="56"/>
        <v>645.02355662144214</v>
      </c>
      <c r="AQ64" s="32">
        <f t="shared" si="41"/>
        <v>16.475418258025115</v>
      </c>
      <c r="AR64" s="33">
        <f t="shared" si="42"/>
        <v>23.994923903983633</v>
      </c>
      <c r="AS64" s="33">
        <f t="shared" si="43"/>
        <v>19.608908487499399</v>
      </c>
      <c r="AT64" s="39">
        <f t="shared" si="70"/>
        <v>795.75990279025768</v>
      </c>
      <c r="AU64" s="36">
        <f t="shared" si="44"/>
        <v>718.35670930409401</v>
      </c>
      <c r="AV64" s="36">
        <f t="shared" si="45"/>
        <v>19.57115024469077</v>
      </c>
      <c r="AW64" s="37">
        <f t="shared" si="46"/>
        <v>22.495935155982597</v>
      </c>
      <c r="AX64" s="40">
        <f t="shared" si="71"/>
        <v>570.41350458533748</v>
      </c>
      <c r="AY64" s="2">
        <f t="shared" si="57"/>
        <v>25.028816690189981</v>
      </c>
      <c r="AZ64" s="2">
        <f t="shared" si="47"/>
        <v>692.66410785622372</v>
      </c>
      <c r="BA64" s="2">
        <f t="shared" si="48"/>
        <v>659.22994574072322</v>
      </c>
      <c r="BB64" s="44">
        <f t="shared" si="60"/>
        <v>659.22994574072322</v>
      </c>
      <c r="BC64">
        <f t="shared" si="49"/>
        <v>252</v>
      </c>
      <c r="BD64" s="2">
        <f t="shared" si="50"/>
        <v>64.855743381464379</v>
      </c>
      <c r="BE64" s="2">
        <f t="shared" si="51"/>
        <v>527.38395659257856</v>
      </c>
      <c r="BF64" s="2">
        <f t="shared" si="62"/>
        <v>25.927358842785718</v>
      </c>
      <c r="BG64" s="24">
        <f t="shared" si="61"/>
        <v>0.3997696655836297</v>
      </c>
    </row>
    <row r="65" spans="1:59" x14ac:dyDescent="0.25">
      <c r="A65">
        <f t="shared" si="11"/>
        <v>258</v>
      </c>
      <c r="B65">
        <v>4.3</v>
      </c>
      <c r="C65" s="2">
        <f t="shared" si="58"/>
        <v>659.22994574072322</v>
      </c>
      <c r="D65" s="2">
        <f t="shared" si="12"/>
        <v>17.740980226420653</v>
      </c>
      <c r="E65" s="2">
        <f t="shared" si="13"/>
        <v>669.60681962296508</v>
      </c>
      <c r="F65" s="25">
        <f t="shared" si="14"/>
        <v>53.384053813164897</v>
      </c>
      <c r="G65">
        <f t="shared" si="15"/>
        <v>4.0016816937929994E-5</v>
      </c>
      <c r="H65">
        <f t="shared" si="16"/>
        <v>1.1700134544364049E-4</v>
      </c>
      <c r="I65" s="51">
        <f t="shared" si="59"/>
        <v>6.4215698873200909E-5</v>
      </c>
      <c r="J65" s="28">
        <f t="shared" si="52"/>
        <v>0.12223248202403203</v>
      </c>
      <c r="K65" s="24">
        <f t="shared" si="53"/>
        <v>23.449546242599084</v>
      </c>
      <c r="L65" s="33">
        <f t="shared" si="54"/>
        <v>18.421052406983854</v>
      </c>
      <c r="M65" s="39">
        <f t="shared" si="55"/>
        <v>720.98366368976167</v>
      </c>
      <c r="N65" s="40">
        <f t="shared" si="63"/>
        <v>312.76772423720115</v>
      </c>
      <c r="O65" s="32">
        <f t="shared" si="18"/>
        <v>710.17962417279989</v>
      </c>
      <c r="P65" s="32">
        <f t="shared" si="19"/>
        <v>19.302014942477587</v>
      </c>
      <c r="Q65" s="33">
        <f t="shared" si="20"/>
        <v>22.859027357647292</v>
      </c>
      <c r="R65" s="33">
        <f t="shared" si="21"/>
        <v>17.254608565125999</v>
      </c>
      <c r="S65" s="39">
        <f t="shared" si="64"/>
        <v>636.74824709288418</v>
      </c>
      <c r="T65" s="36">
        <f t="shared" si="23"/>
        <v>606.74501831153555</v>
      </c>
      <c r="U65" s="36">
        <f t="shared" si="24"/>
        <v>10.567003924443917</v>
      </c>
      <c r="V65" s="37">
        <f t="shared" si="25"/>
        <v>35.673567084966393</v>
      </c>
      <c r="W65" s="40">
        <f t="shared" si="65"/>
        <v>851.4744520288516</v>
      </c>
      <c r="X65" s="32">
        <f t="shared" si="26"/>
        <v>658.09149518132131</v>
      </c>
      <c r="Y65" s="32">
        <f t="shared" si="27"/>
        <v>17.193889084421762</v>
      </c>
      <c r="Z65" s="33">
        <f t="shared" si="28"/>
        <v>23.779589023196269</v>
      </c>
      <c r="AA65" s="33">
        <f t="shared" si="29"/>
        <v>19.126869135107043</v>
      </c>
      <c r="AB65" s="39">
        <f t="shared" si="66"/>
        <v>761.70790483049745</v>
      </c>
      <c r="AC65" s="36">
        <f t="shared" si="31"/>
        <v>848.24772787296104</v>
      </c>
      <c r="AD65" s="36">
        <f t="shared" si="32"/>
        <v>22.881577034451055</v>
      </c>
      <c r="AE65" s="37">
        <f t="shared" si="33"/>
        <v>23.031856113795541</v>
      </c>
      <c r="AF65" s="40">
        <f t="shared" si="67"/>
        <v>489.38013510879199</v>
      </c>
      <c r="AG65" s="32">
        <f t="shared" si="34"/>
        <v>745.00160344049004</v>
      </c>
      <c r="AH65" s="32">
        <f t="shared" si="35"/>
        <v>20.378199666985665</v>
      </c>
      <c r="AI65" s="33">
        <f t="shared" si="36"/>
        <v>22.713474903383794</v>
      </c>
      <c r="AJ65" s="33">
        <f t="shared" si="37"/>
        <v>16.985501172013088</v>
      </c>
      <c r="AK65" s="39">
        <f t="shared" si="68"/>
        <v>597.5194030913176</v>
      </c>
      <c r="AL65" s="36">
        <f t="shared" si="38"/>
        <v>615.72259507280739</v>
      </c>
      <c r="AM65" s="36">
        <f t="shared" si="39"/>
        <v>13.888033593126252</v>
      </c>
      <c r="AN65" s="37">
        <f t="shared" si="40"/>
        <v>27.544603167599981</v>
      </c>
      <c r="AO65" s="40">
        <f t="shared" si="69"/>
        <v>737.28897711678417</v>
      </c>
      <c r="AP65" s="32">
        <f t="shared" si="56"/>
        <v>641.64846329546572</v>
      </c>
      <c r="AQ65" s="32">
        <f t="shared" si="41"/>
        <v>16.266370233547512</v>
      </c>
      <c r="AR65" s="33">
        <f t="shared" si="42"/>
        <v>24.507482021355099</v>
      </c>
      <c r="AS65" s="33">
        <f t="shared" si="43"/>
        <v>20.826784889139944</v>
      </c>
      <c r="AT65" s="39">
        <f t="shared" si="70"/>
        <v>850.65983463551356</v>
      </c>
      <c r="AU65" s="36">
        <f t="shared" si="44"/>
        <v>723.29910807380566</v>
      </c>
      <c r="AV65" s="36">
        <f t="shared" si="45"/>
        <v>19.72844215599946</v>
      </c>
      <c r="AW65" s="37">
        <f t="shared" si="46"/>
        <v>22.778091010991815</v>
      </c>
      <c r="AX65" s="40">
        <f t="shared" si="71"/>
        <v>570.74919095575808</v>
      </c>
      <c r="AY65" s="2">
        <f t="shared" si="57"/>
        <v>25.360961335367023</v>
      </c>
      <c r="AZ65" s="2">
        <f t="shared" si="47"/>
        <v>711.65884741255331</v>
      </c>
      <c r="BA65" s="2">
        <f t="shared" si="48"/>
        <v>662.22318880254647</v>
      </c>
      <c r="BB65" s="44">
        <f t="shared" si="60"/>
        <v>662.22318880254647</v>
      </c>
      <c r="BC65">
        <f t="shared" si="49"/>
        <v>258</v>
      </c>
      <c r="BD65" s="2">
        <f t="shared" si="50"/>
        <v>64.215698873200907</v>
      </c>
      <c r="BE65" s="2">
        <f t="shared" si="51"/>
        <v>529.77855104203718</v>
      </c>
      <c r="BF65" s="2">
        <f t="shared" si="62"/>
        <v>25.502828661136036</v>
      </c>
      <c r="BG65" s="24">
        <f t="shared" si="61"/>
        <v>0.39714320810388493</v>
      </c>
    </row>
    <row r="66" spans="1:59" x14ac:dyDescent="0.25">
      <c r="A66">
        <f t="shared" si="11"/>
        <v>264</v>
      </c>
      <c r="B66">
        <v>4.4000000000000004</v>
      </c>
      <c r="C66" s="2">
        <f t="shared" si="58"/>
        <v>662.22318880254647</v>
      </c>
      <c r="D66" s="2">
        <f t="shared" si="12"/>
        <v>17.814674694064514</v>
      </c>
      <c r="E66" s="2">
        <f t="shared" si="13"/>
        <v>671.26340197426146</v>
      </c>
      <c r="F66" s="25">
        <f t="shared" si="14"/>
        <v>54.534154926908506</v>
      </c>
      <c r="G66">
        <f t="shared" si="15"/>
        <v>3.9592599931727441E-5</v>
      </c>
      <c r="H66">
        <f t="shared" si="16"/>
        <v>1.1576101789428145E-4</v>
      </c>
      <c r="I66" s="51">
        <f t="shared" si="59"/>
        <v>6.3595535098521404E-5</v>
      </c>
      <c r="J66" s="28">
        <f t="shared" si="52"/>
        <v>0.12119475228297646</v>
      </c>
      <c r="K66" s="24">
        <f t="shared" si="53"/>
        <v>23.723397936804282</v>
      </c>
      <c r="L66" s="33">
        <f t="shared" si="54"/>
        <v>19.003901663553364</v>
      </c>
      <c r="M66" s="39">
        <f t="shared" si="55"/>
        <v>742.83512579956016</v>
      </c>
      <c r="N66" s="40">
        <f t="shared" si="63"/>
        <v>314.18238065601395</v>
      </c>
      <c r="O66" s="32">
        <f t="shared" si="18"/>
        <v>728.00810771371926</v>
      </c>
      <c r="P66" s="32">
        <f t="shared" si="19"/>
        <v>19.874846005514144</v>
      </c>
      <c r="Q66" s="33">
        <f t="shared" si="20"/>
        <v>23.061856429850163</v>
      </c>
      <c r="R66" s="33">
        <f t="shared" si="21"/>
        <v>17.641604452456818</v>
      </c>
      <c r="S66" s="39">
        <f t="shared" si="64"/>
        <v>635.83508916000665</v>
      </c>
      <c r="T66" s="36">
        <f t="shared" si="23"/>
        <v>606.77258271602579</v>
      </c>
      <c r="U66" s="36">
        <f t="shared" si="24"/>
        <v>10.59082934316648</v>
      </c>
      <c r="V66" s="37">
        <f t="shared" si="25"/>
        <v>36.070968167169362</v>
      </c>
      <c r="W66" s="40">
        <f t="shared" si="65"/>
        <v>857.17460381668661</v>
      </c>
      <c r="X66" s="32">
        <f t="shared" si="26"/>
        <v>657.6573805020829</v>
      </c>
      <c r="Y66" s="32">
        <f t="shared" si="27"/>
        <v>17.171906694350938</v>
      </c>
      <c r="Z66" s="33">
        <f t="shared" si="28"/>
        <v>24.112542090563515</v>
      </c>
      <c r="AA66" s="33">
        <f t="shared" si="29"/>
        <v>19.879520565014531</v>
      </c>
      <c r="AB66" s="39">
        <f t="shared" si="66"/>
        <v>793.13814051047245</v>
      </c>
      <c r="AC66" s="36">
        <f t="shared" si="31"/>
        <v>856.16116976990952</v>
      </c>
      <c r="AD66" s="36">
        <f t="shared" si="32"/>
        <v>23.04663558547675</v>
      </c>
      <c r="AE66" s="37">
        <f t="shared" si="33"/>
        <v>23.388900841926258</v>
      </c>
      <c r="AF66" s="40">
        <f t="shared" si="67"/>
        <v>489.17665598857246</v>
      </c>
      <c r="AG66" s="32">
        <f t="shared" si="34"/>
        <v>776.77888187546591</v>
      </c>
      <c r="AH66" s="32">
        <f t="shared" si="35"/>
        <v>21.234179371055831</v>
      </c>
      <c r="AI66" s="33">
        <f t="shared" si="36"/>
        <v>23.03158087959989</v>
      </c>
      <c r="AJ66" s="33">
        <f t="shared" si="37"/>
        <v>17.582943685849187</v>
      </c>
      <c r="AK66" s="39">
        <f t="shared" si="68"/>
        <v>593.93210536092715</v>
      </c>
      <c r="AL66" s="36">
        <f t="shared" si="38"/>
        <v>615.69508781994352</v>
      </c>
      <c r="AM66" s="36">
        <f t="shared" si="39"/>
        <v>13.883805330366398</v>
      </c>
      <c r="AN66" s="37">
        <f t="shared" si="40"/>
        <v>27.920230123784833</v>
      </c>
      <c r="AO66" s="40">
        <f t="shared" si="69"/>
        <v>743.20761801937033</v>
      </c>
      <c r="AP66" s="32">
        <f t="shared" si="56"/>
        <v>640.35927510416161</v>
      </c>
      <c r="AQ66" s="32">
        <f t="shared" si="41"/>
        <v>16.183273147363096</v>
      </c>
      <c r="AR66" s="33">
        <f t="shared" si="42"/>
        <v>24.912606047537512</v>
      </c>
      <c r="AS66" s="33">
        <f t="shared" si="43"/>
        <v>21.861847749937219</v>
      </c>
      <c r="AT66" s="39">
        <f t="shared" si="70"/>
        <v>895.78912952166013</v>
      </c>
      <c r="AU66" s="36">
        <f t="shared" si="44"/>
        <v>728.32894286400324</v>
      </c>
      <c r="AV66" s="36">
        <f t="shared" si="45"/>
        <v>19.884703519948914</v>
      </c>
      <c r="AW66" s="37">
        <f t="shared" si="46"/>
        <v>23.060582278574874</v>
      </c>
      <c r="AX66" s="40">
        <f t="shared" si="71"/>
        <v>570.98396284862201</v>
      </c>
      <c r="AY66" s="2">
        <f t="shared" si="57"/>
        <v>25.694908357375798</v>
      </c>
      <c r="AZ66" s="2">
        <f t="shared" si="47"/>
        <v>729.67361613826665</v>
      </c>
      <c r="BA66" s="2">
        <f t="shared" si="48"/>
        <v>665.13571016831293</v>
      </c>
      <c r="BB66" s="44">
        <f t="shared" si="60"/>
        <v>665.13571016831293</v>
      </c>
      <c r="BC66">
        <f t="shared" si="49"/>
        <v>264</v>
      </c>
      <c r="BD66" s="2">
        <f t="shared" si="50"/>
        <v>63.595535098521403</v>
      </c>
      <c r="BE66" s="2">
        <f t="shared" si="51"/>
        <v>532.10856813465034</v>
      </c>
      <c r="BF66" s="2">
        <f t="shared" si="62"/>
        <v>25.091873245879299</v>
      </c>
      <c r="BG66" s="24">
        <f t="shared" si="61"/>
        <v>0.39455400771464982</v>
      </c>
    </row>
    <row r="67" spans="1:59" x14ac:dyDescent="0.25">
      <c r="A67">
        <f t="shared" si="11"/>
        <v>270</v>
      </c>
      <c r="B67">
        <v>4.5</v>
      </c>
      <c r="C67" s="2">
        <f t="shared" si="58"/>
        <v>665.13571016831293</v>
      </c>
      <c r="D67" s="2">
        <f t="shared" si="12"/>
        <v>17.886574418793224</v>
      </c>
      <c r="E67" s="2">
        <f t="shared" si="13"/>
        <v>672.9039843183798</v>
      </c>
      <c r="F67" s="25">
        <f t="shared" si="14"/>
        <v>55.685135089989977</v>
      </c>
      <c r="G67">
        <f t="shared" si="15"/>
        <v>3.9181285129303567E-5</v>
      </c>
      <c r="H67">
        <f t="shared" si="16"/>
        <v>1.1455841386510231E-4</v>
      </c>
      <c r="I67" s="51">
        <f t="shared" si="59"/>
        <v>6.2994233083931822E-5</v>
      </c>
      <c r="J67" s="28">
        <f t="shared" si="52"/>
        <v>0.12018645883742887</v>
      </c>
      <c r="K67" s="24">
        <f t="shared" si="53"/>
        <v>23.995055065745124</v>
      </c>
      <c r="L67" s="33">
        <f t="shared" si="54"/>
        <v>19.60920736345161</v>
      </c>
      <c r="M67" s="39">
        <f t="shared" si="55"/>
        <v>765.50339821644991</v>
      </c>
      <c r="N67" s="40">
        <f t="shared" si="63"/>
        <v>315.56707283588298</v>
      </c>
      <c r="O67" s="32">
        <f t="shared" si="18"/>
        <v>748.60428851881215</v>
      </c>
      <c r="P67" s="32">
        <f t="shared" si="19"/>
        <v>20.480392440511984</v>
      </c>
      <c r="Q67" s="33">
        <f t="shared" si="20"/>
        <v>23.313627944511055</v>
      </c>
      <c r="R67" s="33">
        <f t="shared" si="21"/>
        <v>18.141767488256271</v>
      </c>
      <c r="S67" s="39">
        <f t="shared" si="64"/>
        <v>636.60122424304825</v>
      </c>
      <c r="T67" s="36">
        <f t="shared" si="23"/>
        <v>606.79910472926667</v>
      </c>
      <c r="U67" s="36">
        <f t="shared" si="24"/>
        <v>10.614193522780296</v>
      </c>
      <c r="V67" s="37">
        <f t="shared" si="25"/>
        <v>36.463113950535188</v>
      </c>
      <c r="W67" s="40">
        <f t="shared" si="65"/>
        <v>862.77161279213874</v>
      </c>
      <c r="X67" s="32">
        <f t="shared" si="26"/>
        <v>658.02142774718095</v>
      </c>
      <c r="Y67" s="32">
        <f t="shared" si="27"/>
        <v>17.190348551593509</v>
      </c>
      <c r="Z67" s="33">
        <f t="shared" si="28"/>
        <v>24.41468799058098</v>
      </c>
      <c r="AA67" s="33">
        <f t="shared" si="29"/>
        <v>20.598809990880326</v>
      </c>
      <c r="AB67" s="39">
        <f t="shared" si="66"/>
        <v>822.32270004825364</v>
      </c>
      <c r="AC67" s="36">
        <f t="shared" si="31"/>
        <v>864.10006334253353</v>
      </c>
      <c r="AD67" s="36">
        <f t="shared" si="32"/>
        <v>23.209415623026224</v>
      </c>
      <c r="AE67" s="37">
        <f t="shared" si="33"/>
        <v>23.74628392338176</v>
      </c>
      <c r="AF67" s="40">
        <f t="shared" si="67"/>
        <v>488.93113342126202</v>
      </c>
      <c r="AG67" s="32">
        <f t="shared" si="34"/>
        <v>810.41626739588492</v>
      </c>
      <c r="AH67" s="32">
        <f t="shared" si="35"/>
        <v>22.048812692237931</v>
      </c>
      <c r="AI67" s="33">
        <f t="shared" si="36"/>
        <v>23.443301167906004</v>
      </c>
      <c r="AJ67" s="33">
        <f t="shared" si="37"/>
        <v>18.408075889353547</v>
      </c>
      <c r="AK67" s="39">
        <f t="shared" si="68"/>
        <v>596.67855559488237</v>
      </c>
      <c r="AL67" s="36">
        <f t="shared" si="38"/>
        <v>615.66198286013446</v>
      </c>
      <c r="AM67" s="36">
        <f t="shared" si="39"/>
        <v>13.878704646357114</v>
      </c>
      <c r="AN67" s="37">
        <f t="shared" si="40"/>
        <v>28.293666361816477</v>
      </c>
      <c r="AO67" s="40">
        <f t="shared" si="69"/>
        <v>749.05926253371695</v>
      </c>
      <c r="AP67" s="32">
        <f t="shared" si="56"/>
        <v>641.34321688298189</v>
      </c>
      <c r="AQ67" s="32">
        <f t="shared" si="41"/>
        <v>16.246866761457852</v>
      </c>
      <c r="AR67" s="33">
        <f t="shared" si="42"/>
        <v>25.177738109667199</v>
      </c>
      <c r="AS67" s="33">
        <f t="shared" si="43"/>
        <v>22.574983353288715</v>
      </c>
      <c r="AT67" s="39">
        <f t="shared" si="70"/>
        <v>924.64945188132913</v>
      </c>
      <c r="AU67" s="36">
        <f t="shared" si="44"/>
        <v>733.44527823037879</v>
      </c>
      <c r="AV67" s="36">
        <f t="shared" si="45"/>
        <v>20.03996748050173</v>
      </c>
      <c r="AW67" s="37">
        <f t="shared" si="46"/>
        <v>23.343529944252143</v>
      </c>
      <c r="AX67" s="40">
        <f t="shared" si="71"/>
        <v>571.12273552631007</v>
      </c>
      <c r="AY67" s="2">
        <f t="shared" si="57"/>
        <v>26.024493674081349</v>
      </c>
      <c r="AZ67" s="2">
        <f t="shared" si="47"/>
        <v>745.06298294187843</v>
      </c>
      <c r="BA67" s="2">
        <f t="shared" si="48"/>
        <v>667.97118606835693</v>
      </c>
      <c r="BB67" s="44">
        <f t="shared" si="60"/>
        <v>667.97118606835693</v>
      </c>
      <c r="BC67">
        <f t="shared" si="49"/>
        <v>270</v>
      </c>
      <c r="BD67" s="2">
        <f t="shared" si="50"/>
        <v>62.994233083931825</v>
      </c>
      <c r="BE67" s="2">
        <f t="shared" si="51"/>
        <v>534.37694885468557</v>
      </c>
      <c r="BF67" s="2">
        <f t="shared" si="62"/>
        <v>24.696740835271733</v>
      </c>
      <c r="BG67" s="24">
        <f t="shared" si="61"/>
        <v>0.39204764668483955</v>
      </c>
    </row>
    <row r="68" spans="1:59" x14ac:dyDescent="0.25">
      <c r="A68">
        <f t="shared" si="11"/>
        <v>276</v>
      </c>
      <c r="B68">
        <v>4.5999999999999996</v>
      </c>
      <c r="C68" s="2">
        <f t="shared" si="58"/>
        <v>667.97118606835693</v>
      </c>
      <c r="D68" s="2">
        <f t="shared" si="12"/>
        <v>17.956754707868022</v>
      </c>
      <c r="E68" s="2">
        <f t="shared" si="13"/>
        <v>674.5285820237043</v>
      </c>
      <c r="F68" s="25">
        <f t="shared" si="14"/>
        <v>56.837003863726245</v>
      </c>
      <c r="G68">
        <f t="shared" si="15"/>
        <v>3.8782225499655057E-5</v>
      </c>
      <c r="H68">
        <f t="shared" si="16"/>
        <v>1.1339164156400854E-4</v>
      </c>
      <c r="I68" s="3">
        <f t="shared" si="59"/>
        <v>6.2410846933384935E-5</v>
      </c>
      <c r="J68" s="28">
        <f t="shared" si="52"/>
        <v>0.11920618241490963</v>
      </c>
      <c r="K68" s="24">
        <f t="shared" si="53"/>
        <v>24.264588616758108</v>
      </c>
      <c r="L68" s="33">
        <f t="shared" si="54"/>
        <v>20.237109970119029</v>
      </c>
      <c r="M68" s="39">
        <f t="shared" si="55"/>
        <v>788.99141169745155</v>
      </c>
      <c r="N68" s="40">
        <f t="shared" si="63"/>
        <v>316.92315637469198</v>
      </c>
      <c r="O68" s="32">
        <f t="shared" si="18"/>
        <v>772.32864370478683</v>
      </c>
      <c r="P68" s="32">
        <f t="shared" si="19"/>
        <v>21.119979077471157</v>
      </c>
      <c r="Q68" s="33">
        <f t="shared" si="20"/>
        <v>23.621587667434493</v>
      </c>
      <c r="R68" s="33">
        <f t="shared" si="21"/>
        <v>18.784043043135277</v>
      </c>
      <c r="S68" s="39">
        <f t="shared" si="64"/>
        <v>639.60385671844426</v>
      </c>
      <c r="T68" s="36">
        <f t="shared" si="23"/>
        <v>606.82466551887944</v>
      </c>
      <c r="U68" s="36">
        <f t="shared" si="24"/>
        <v>10.637116610520248</v>
      </c>
      <c r="V68" s="37">
        <f t="shared" si="25"/>
        <v>36.85018994937267</v>
      </c>
      <c r="W68" s="40">
        <f t="shared" si="65"/>
        <v>868.26940682065845</v>
      </c>
      <c r="X68" s="32">
        <f t="shared" si="26"/>
        <v>659.46562207225497</v>
      </c>
      <c r="Y68" s="32">
        <f t="shared" si="27"/>
        <v>17.262752520501135</v>
      </c>
      <c r="Z68" s="33">
        <f t="shared" si="28"/>
        <v>24.676442083199539</v>
      </c>
      <c r="AA68" s="33">
        <f t="shared" si="29"/>
        <v>21.250545589750921</v>
      </c>
      <c r="AB68" s="39">
        <f t="shared" si="66"/>
        <v>847.4265473829854</v>
      </c>
      <c r="AC68" s="36">
        <f t="shared" si="31"/>
        <v>872.06266725892397</v>
      </c>
      <c r="AD68" s="36">
        <f t="shared" si="32"/>
        <v>23.369993318570685</v>
      </c>
      <c r="AE68" s="37">
        <f t="shared" si="33"/>
        <v>24.10402297177588</v>
      </c>
      <c r="AF68" s="40">
        <f t="shared" si="67"/>
        <v>488.64665507441038</v>
      </c>
      <c r="AG68" s="32">
        <f t="shared" si="34"/>
        <v>842.73228521956355</v>
      </c>
      <c r="AH68" s="32">
        <f t="shared" si="35"/>
        <v>22.764804331246729</v>
      </c>
      <c r="AI68" s="33">
        <f t="shared" si="36"/>
        <v>23.912563496974155</v>
      </c>
      <c r="AJ68" s="33">
        <f t="shared" si="37"/>
        <v>19.422505291279535</v>
      </c>
      <c r="AK68" s="39">
        <f t="shared" si="68"/>
        <v>606.09368268951437</v>
      </c>
      <c r="AL68" s="36">
        <f t="shared" si="38"/>
        <v>615.6237426344137</v>
      </c>
      <c r="AM68" s="36">
        <f t="shared" si="39"/>
        <v>13.8727963522033</v>
      </c>
      <c r="AN68" s="37">
        <f t="shared" si="40"/>
        <v>28.664988753152265</v>
      </c>
      <c r="AO68" s="40">
        <f t="shared" si="69"/>
        <v>754.84604839411861</v>
      </c>
      <c r="AP68" s="32">
        <f t="shared" si="56"/>
        <v>644.86997971597123</v>
      </c>
      <c r="AQ68" s="32">
        <f t="shared" si="41"/>
        <v>16.466154948607773</v>
      </c>
      <c r="AR68" s="33">
        <f t="shared" si="42"/>
        <v>25.297662132937798</v>
      </c>
      <c r="AS68" s="33">
        <f t="shared" si="43"/>
        <v>22.907027469914695</v>
      </c>
      <c r="AT68" s="39">
        <f t="shared" si="70"/>
        <v>934.15881821542598</v>
      </c>
      <c r="AU68" s="36">
        <f t="shared" si="44"/>
        <v>738.6471842202302</v>
      </c>
      <c r="AV68" s="36">
        <f t="shared" si="45"/>
        <v>20.194264831123867</v>
      </c>
      <c r="AW68" s="37">
        <f t="shared" si="46"/>
        <v>23.627045908070457</v>
      </c>
      <c r="AX68" s="40">
        <f t="shared" si="71"/>
        <v>571.17017915674307</v>
      </c>
      <c r="AY68" s="2">
        <f t="shared" si="57"/>
        <v>26.344312870364654</v>
      </c>
      <c r="AZ68" s="2">
        <f t="shared" si="47"/>
        <v>756.82072625159253</v>
      </c>
      <c r="BA68" s="2">
        <f t="shared" si="48"/>
        <v>670.73307236148264</v>
      </c>
      <c r="BB68" s="44">
        <f t="shared" si="60"/>
        <v>670.73307236148264</v>
      </c>
      <c r="BC68">
        <f t="shared" si="49"/>
        <v>276</v>
      </c>
      <c r="BD68" s="2">
        <f t="shared" si="50"/>
        <v>62.410846933384938</v>
      </c>
      <c r="BE68" s="2">
        <f t="shared" si="51"/>
        <v>536.58645788918614</v>
      </c>
      <c r="BF68" s="2">
        <f t="shared" si="62"/>
        <v>24.319051590015459</v>
      </c>
      <c r="BG68" s="24">
        <f t="shared" si="61"/>
        <v>0.38966065651973492</v>
      </c>
    </row>
    <row r="69" spans="1:59" x14ac:dyDescent="0.25">
      <c r="A69">
        <f t="shared" si="11"/>
        <v>282</v>
      </c>
      <c r="B69">
        <v>4.7</v>
      </c>
      <c r="C69" s="2">
        <f t="shared" si="58"/>
        <v>670.73307236148264</v>
      </c>
      <c r="D69" s="2">
        <f t="shared" si="12"/>
        <v>18.025286739415868</v>
      </c>
      <c r="E69" s="2">
        <f t="shared" si="13"/>
        <v>676.13724394845417</v>
      </c>
      <c r="F69" s="25">
        <f t="shared" si="14"/>
        <v>57.989768193673463</v>
      </c>
      <c r="G69">
        <f t="shared" si="15"/>
        <v>3.8394819389627803E-5</v>
      </c>
      <c r="H69">
        <f t="shared" si="16"/>
        <v>1.122589418748608E-4</v>
      </c>
      <c r="I69" s="3">
        <f t="shared" si="59"/>
        <v>6.1844497088811071E-5</v>
      </c>
      <c r="J69" s="28">
        <f t="shared" si="52"/>
        <v>0.11825260082288053</v>
      </c>
      <c r="K69" s="24">
        <f t="shared" si="53"/>
        <v>24.532065483138499</v>
      </c>
      <c r="L69" s="33">
        <f t="shared" si="54"/>
        <v>20.887744127750686</v>
      </c>
      <c r="M69" s="39">
        <f t="shared" si="55"/>
        <v>813.30184243779445</v>
      </c>
      <c r="N69" s="40">
        <f t="shared" si="63"/>
        <v>318.25189410330142</v>
      </c>
      <c r="O69" s="32">
        <f t="shared" si="18"/>
        <v>799.57829258309971</v>
      </c>
      <c r="P69" s="32">
        <f t="shared" si="19"/>
        <v>21.794974826161507</v>
      </c>
      <c r="Q69" s="33">
        <f t="shared" si="20"/>
        <v>23.993083293204176</v>
      </c>
      <c r="R69" s="33">
        <f t="shared" si="21"/>
        <v>19.604715000691591</v>
      </c>
      <c r="S69" s="39">
        <f t="shared" si="64"/>
        <v>645.49757412116094</v>
      </c>
      <c r="T69" s="36">
        <f t="shared" si="23"/>
        <v>606.84933903191154</v>
      </c>
      <c r="U69" s="36">
        <f t="shared" si="24"/>
        <v>10.659617402818217</v>
      </c>
      <c r="V69" s="37">
        <f t="shared" si="25"/>
        <v>37.232371933937024</v>
      </c>
      <c r="W69" s="40">
        <f t="shared" si="65"/>
        <v>873.67168951655049</v>
      </c>
      <c r="X69" s="32">
        <f t="shared" si="26"/>
        <v>662.38194995321624</v>
      </c>
      <c r="Y69" s="32">
        <f t="shared" si="27"/>
        <v>17.405457901668402</v>
      </c>
      <c r="Z69" s="33">
        <f t="shared" si="28"/>
        <v>24.888829606433436</v>
      </c>
      <c r="AA69" s="33">
        <f t="shared" si="29"/>
        <v>21.799290783091628</v>
      </c>
      <c r="AB69" s="39">
        <f t="shared" si="66"/>
        <v>866.42096318928259</v>
      </c>
      <c r="AC69" s="36">
        <f t="shared" si="31"/>
        <v>880.04734653122819</v>
      </c>
      <c r="AD69" s="36">
        <f t="shared" si="32"/>
        <v>23.52844086695481</v>
      </c>
      <c r="AE69" s="37">
        <f t="shared" si="33"/>
        <v>24.462133213907347</v>
      </c>
      <c r="AF69" s="40">
        <f t="shared" si="67"/>
        <v>488.32608057120109</v>
      </c>
      <c r="AG69" s="32">
        <f t="shared" si="34"/>
        <v>869.3672244865686</v>
      </c>
      <c r="AH69" s="32">
        <f t="shared" si="35"/>
        <v>23.315929055601814</v>
      </c>
      <c r="AI69" s="33">
        <f t="shared" si="36"/>
        <v>24.385517483927757</v>
      </c>
      <c r="AJ69" s="33">
        <f t="shared" si="37"/>
        <v>20.527835740610676</v>
      </c>
      <c r="AK69" s="39">
        <f t="shared" si="68"/>
        <v>621.6343109111582</v>
      </c>
      <c r="AL69" s="36">
        <f t="shared" si="38"/>
        <v>615.58080093273452</v>
      </c>
      <c r="AM69" s="36">
        <f t="shared" si="39"/>
        <v>13.866140554028744</v>
      </c>
      <c r="AN69" s="37">
        <f t="shared" si="40"/>
        <v>29.034269690826147</v>
      </c>
      <c r="AO69" s="40">
        <f t="shared" si="69"/>
        <v>760.5699824429754</v>
      </c>
      <c r="AP69" s="32">
        <f t="shared" si="56"/>
        <v>651.23024011287407</v>
      </c>
      <c r="AQ69" s="32">
        <f t="shared" si="41"/>
        <v>16.832456157969869</v>
      </c>
      <c r="AR69" s="33">
        <f t="shared" si="42"/>
        <v>25.302795488492475</v>
      </c>
      <c r="AS69" s="33">
        <f t="shared" si="43"/>
        <v>22.921373751687412</v>
      </c>
      <c r="AT69" s="39">
        <f t="shared" si="70"/>
        <v>926.61891278020641</v>
      </c>
      <c r="AU69" s="36">
        <f t="shared" si="44"/>
        <v>743.93373668709103</v>
      </c>
      <c r="AV69" s="36">
        <f t="shared" si="45"/>
        <v>20.347624247355071</v>
      </c>
      <c r="AW69" s="37">
        <f t="shared" si="46"/>
        <v>23.91123365096259</v>
      </c>
      <c r="AX69" s="40">
        <f t="shared" si="71"/>
        <v>571.13073459067004</v>
      </c>
      <c r="AY69" s="2">
        <f t="shared" si="57"/>
        <v>26.651279295211371</v>
      </c>
      <c r="AZ69" s="2">
        <f t="shared" si="47"/>
        <v>765.04294025045203</v>
      </c>
      <c r="BA69" s="2">
        <f t="shared" si="48"/>
        <v>673.4246217803493</v>
      </c>
      <c r="BB69" s="44">
        <f t="shared" si="60"/>
        <v>673.4246217803493</v>
      </c>
      <c r="BC69">
        <f t="shared" si="49"/>
        <v>282</v>
      </c>
      <c r="BD69" s="2">
        <f t="shared" si="50"/>
        <v>61.844497088811075</v>
      </c>
      <c r="BE69" s="2">
        <f t="shared" si="51"/>
        <v>538.73969742427948</v>
      </c>
      <c r="BF69" s="2">
        <f t="shared" si="62"/>
        <v>23.959184266697847</v>
      </c>
      <c r="BG69" s="24">
        <f t="shared" si="61"/>
        <v>0.38741012368960714</v>
      </c>
    </row>
    <row r="70" spans="1:59" x14ac:dyDescent="0.25">
      <c r="A70">
        <f t="shared" si="11"/>
        <v>288</v>
      </c>
      <c r="B70">
        <v>4.8</v>
      </c>
      <c r="C70" s="2">
        <f t="shared" si="58"/>
        <v>673.4246217803493</v>
      </c>
      <c r="D70" s="2">
        <f t="shared" si="12"/>
        <v>18.092237863547105</v>
      </c>
      <c r="E70" s="2">
        <f t="shared" si="13"/>
        <v>677.73004870423279</v>
      </c>
      <c r="F70" s="25">
        <f t="shared" si="14"/>
        <v>59.143432740236427</v>
      </c>
      <c r="G70">
        <f t="shared" si="15"/>
        <v>3.8018506430593791E-5</v>
      </c>
      <c r="H70">
        <f t="shared" si="16"/>
        <v>1.1115867638939876E-4</v>
      </c>
      <c r="I70" s="3">
        <f t="shared" si="59"/>
        <v>6.1294364346080053E-5</v>
      </c>
      <c r="J70" s="28">
        <f t="shared" si="52"/>
        <v>0.11732448033557835</v>
      </c>
      <c r="K70" s="24">
        <f t="shared" si="53"/>
        <v>24.797548802209356</v>
      </c>
      <c r="L70" s="33">
        <f t="shared" si="54"/>
        <v>21.561239012269887</v>
      </c>
      <c r="M70" s="39">
        <f t="shared" si="55"/>
        <v>838.43713138590101</v>
      </c>
      <c r="N70" s="40">
        <f t="shared" si="63"/>
        <v>319.55446375351062</v>
      </c>
      <c r="O70" s="32">
        <f t="shared" si="18"/>
        <v>830.78957420741244</v>
      </c>
      <c r="P70" s="32">
        <f t="shared" si="19"/>
        <v>22.506793051019677</v>
      </c>
      <c r="Q70" s="33">
        <f t="shared" si="20"/>
        <v>24.435527638360597</v>
      </c>
      <c r="R70" s="33">
        <f t="shared" si="21"/>
        <v>20.649716709862759</v>
      </c>
      <c r="S70" s="39">
        <f t="shared" si="64"/>
        <v>655.05322817644276</v>
      </c>
      <c r="T70" s="36">
        <f t="shared" si="23"/>
        <v>606.87319274864592</v>
      </c>
      <c r="U70" s="36">
        <f t="shared" si="24"/>
        <v>10.681713453473165</v>
      </c>
      <c r="V70" s="37">
        <f t="shared" si="25"/>
        <v>37.609826635255978</v>
      </c>
      <c r="W70" s="40">
        <f t="shared" si="65"/>
        <v>878.98195757072187</v>
      </c>
      <c r="X70" s="32">
        <f t="shared" si="26"/>
        <v>667.34466155883899</v>
      </c>
      <c r="Y70" s="32">
        <f t="shared" si="27"/>
        <v>17.638483696229713</v>
      </c>
      <c r="Z70" s="33">
        <f t="shared" si="28"/>
        <v>25.045704005635034</v>
      </c>
      <c r="AA70" s="33">
        <f t="shared" si="29"/>
        <v>22.216261888183354</v>
      </c>
      <c r="AB70" s="39">
        <f t="shared" si="66"/>
        <v>877.35292167387547</v>
      </c>
      <c r="AC70" s="36">
        <f t="shared" si="31"/>
        <v>888.0525654543402</v>
      </c>
      <c r="AD70" s="36">
        <f t="shared" si="32"/>
        <v>23.684826778774905</v>
      </c>
      <c r="AE70" s="37">
        <f t="shared" si="33"/>
        <v>24.820627760953613</v>
      </c>
      <c r="AF70" s="40">
        <f t="shared" si="67"/>
        <v>487.972060153006</v>
      </c>
      <c r="AG70" s="32">
        <f t="shared" si="34"/>
        <v>885.58020178307891</v>
      </c>
      <c r="AH70" s="32">
        <f t="shared" si="35"/>
        <v>23.636784961537934</v>
      </c>
      <c r="AI70" s="33">
        <f t="shared" si="36"/>
        <v>24.801833957038355</v>
      </c>
      <c r="AJ70" s="33">
        <f t="shared" si="37"/>
        <v>21.572339529834089</v>
      </c>
      <c r="AK70" s="39">
        <f t="shared" si="68"/>
        <v>641.98204125718667</v>
      </c>
      <c r="AL70" s="36">
        <f t="shared" si="38"/>
        <v>615.53356417188047</v>
      </c>
      <c r="AM70" s="36">
        <f t="shared" si="39"/>
        <v>13.858793023390172</v>
      </c>
      <c r="AN70" s="37">
        <f t="shared" si="40"/>
        <v>29.401577442414425</v>
      </c>
      <c r="AO70" s="40">
        <f t="shared" si="69"/>
        <v>766.23295247742215</v>
      </c>
      <c r="AP70" s="32">
        <f t="shared" si="56"/>
        <v>660.62930786361972</v>
      </c>
      <c r="AQ70" s="32">
        <f t="shared" si="41"/>
        <v>17.320242187669109</v>
      </c>
      <c r="AR70" s="33">
        <f t="shared" si="42"/>
        <v>25.249232256427256</v>
      </c>
      <c r="AS70" s="33">
        <f t="shared" si="43"/>
        <v>22.772218475293137</v>
      </c>
      <c r="AT70" s="39">
        <f t="shared" si="70"/>
        <v>908.45001446032325</v>
      </c>
      <c r="AU70" s="36">
        <f t="shared" si="44"/>
        <v>749.30401763781367</v>
      </c>
      <c r="AV70" s="36">
        <f t="shared" si="45"/>
        <v>20.50007249290568</v>
      </c>
      <c r="AW70" s="37">
        <f t="shared" si="46"/>
        <v>24.196188846300519</v>
      </c>
      <c r="AX70" s="40">
        <f t="shared" si="71"/>
        <v>571.00862768610637</v>
      </c>
      <c r="AY70" s="2">
        <f t="shared" si="57"/>
        <v>26.945064817798226</v>
      </c>
      <c r="AZ70" s="2">
        <f t="shared" si="47"/>
        <v>770.70955139195701</v>
      </c>
      <c r="BA70" s="2">
        <f t="shared" si="48"/>
        <v>676.04889947181402</v>
      </c>
      <c r="BB70" s="44">
        <f t="shared" si="60"/>
        <v>676.04889947181402</v>
      </c>
      <c r="BC70">
        <f t="shared" si="49"/>
        <v>288</v>
      </c>
      <c r="BD70" s="2">
        <f t="shared" si="50"/>
        <v>61.294364346080052</v>
      </c>
      <c r="BE70" s="2">
        <f t="shared" si="51"/>
        <v>540.83911957745124</v>
      </c>
      <c r="BF70" s="2">
        <f t="shared" si="62"/>
        <v>23.616249309759411</v>
      </c>
      <c r="BG70" s="24">
        <f t="shared" si="61"/>
        <v>0.3852923439489056</v>
      </c>
    </row>
    <row r="71" spans="1:59" x14ac:dyDescent="0.25">
      <c r="A71">
        <f t="shared" si="11"/>
        <v>294</v>
      </c>
      <c r="B71">
        <v>4.9000000000000004</v>
      </c>
      <c r="C71" s="2">
        <f t="shared" si="58"/>
        <v>676.04889947181402</v>
      </c>
      <c r="D71" s="2">
        <f t="shared" si="12"/>
        <v>18.157671874956186</v>
      </c>
      <c r="E71" s="2">
        <f t="shared" si="13"/>
        <v>679.30710128045303</v>
      </c>
      <c r="F71" s="25">
        <f t="shared" si="14"/>
        <v>60.298000172424402</v>
      </c>
      <c r="G71">
        <f t="shared" si="15"/>
        <v>3.765276389418519E-5</v>
      </c>
      <c r="H71">
        <f t="shared" si="16"/>
        <v>1.1008931675212049E-4</v>
      </c>
      <c r="I71" s="3">
        <f t="shared" si="59"/>
        <v>6.0759684527440914E-5</v>
      </c>
      <c r="J71" s="28">
        <f t="shared" si="52"/>
        <v>0.1164206680145036</v>
      </c>
      <c r="K71" s="24">
        <f t="shared" si="53"/>
        <v>25.061098258883025</v>
      </c>
      <c r="L71" s="33">
        <f t="shared" si="54"/>
        <v>22.257718657709681</v>
      </c>
      <c r="M71" s="39">
        <f t="shared" si="55"/>
        <v>864.3995017530633</v>
      </c>
      <c r="N71" s="40">
        <f t="shared" si="63"/>
        <v>320.83196488847108</v>
      </c>
      <c r="O71" s="32">
        <f t="shared" si="18"/>
        <v>866.44071791808358</v>
      </c>
      <c r="P71" s="32">
        <f t="shared" si="19"/>
        <v>23.256891891881658</v>
      </c>
      <c r="Q71" s="33">
        <f t="shared" si="20"/>
        <v>24.956362648201463</v>
      </c>
      <c r="R71" s="33">
        <f t="shared" si="21"/>
        <v>21.97757031850167</v>
      </c>
      <c r="S71" s="39">
        <f t="shared" si="64"/>
        <v>669.1767428308774</v>
      </c>
      <c r="T71" s="36">
        <f t="shared" si="23"/>
        <v>606.89628834533937</v>
      </c>
      <c r="U71" s="36">
        <f t="shared" si="24"/>
        <v>10.703421171779794</v>
      </c>
      <c r="V71" s="37">
        <f t="shared" si="25"/>
        <v>37.982712385037445</v>
      </c>
      <c r="W71" s="40">
        <f t="shared" si="65"/>
        <v>884.2035163964058</v>
      </c>
      <c r="X71" s="32">
        <f t="shared" si="26"/>
        <v>675.22756297021783</v>
      </c>
      <c r="Y71" s="32">
        <f t="shared" si="27"/>
        <v>17.986647761831527</v>
      </c>
      <c r="Z71" s="33">
        <f t="shared" si="28"/>
        <v>25.147455053627752</v>
      </c>
      <c r="AA71" s="33">
        <f t="shared" si="29"/>
        <v>22.492075471519641</v>
      </c>
      <c r="AB71" s="39">
        <f t="shared" si="66"/>
        <v>878.77842114017017</v>
      </c>
      <c r="AC71" s="36">
        <f t="shared" si="31"/>
        <v>896.07688110784977</v>
      </c>
      <c r="AD71" s="36">
        <f t="shared" si="32"/>
        <v>23.839216145179719</v>
      </c>
      <c r="AE71" s="37">
        <f t="shared" si="33"/>
        <v>25.179517847926011</v>
      </c>
      <c r="AF71" s="40">
        <f t="shared" si="67"/>
        <v>487.5870516046881</v>
      </c>
      <c r="AG71" s="32">
        <f t="shared" si="34"/>
        <v>887.74285578167633</v>
      </c>
      <c r="AH71" s="32">
        <f t="shared" si="35"/>
        <v>23.678821046366508</v>
      </c>
      <c r="AI71" s="33">
        <f t="shared" si="36"/>
        <v>25.114308169255228</v>
      </c>
      <c r="AJ71" s="33">
        <f t="shared" si="37"/>
        <v>22.40175930552352</v>
      </c>
      <c r="AK71" s="39">
        <f t="shared" si="68"/>
        <v>665.72513539624765</v>
      </c>
      <c r="AL71" s="36">
        <f t="shared" si="38"/>
        <v>615.48241269382379</v>
      </c>
      <c r="AM71" s="36">
        <f t="shared" si="39"/>
        <v>13.850805535154629</v>
      </c>
      <c r="AN71" s="37">
        <f t="shared" si="40"/>
        <v>29.76697646836163</v>
      </c>
      <c r="AO71" s="40">
        <f t="shared" si="69"/>
        <v>771.83673777882802</v>
      </c>
      <c r="AP71" s="32">
        <f t="shared" si="56"/>
        <v>673.23946324193491</v>
      </c>
      <c r="AQ71" s="32">
        <f t="shared" si="41"/>
        <v>17.901148335652699</v>
      </c>
      <c r="AR71" s="33">
        <f t="shared" si="42"/>
        <v>25.193167966480981</v>
      </c>
      <c r="AS71" s="33">
        <f t="shared" si="43"/>
        <v>22.617371958505935</v>
      </c>
      <c r="AT71" s="39">
        <f t="shared" si="70"/>
        <v>886.28334726708636</v>
      </c>
      <c r="AU71" s="36">
        <f t="shared" si="44"/>
        <v>754.75711559789511</v>
      </c>
      <c r="AV71" s="36">
        <f t="shared" si="45"/>
        <v>20.651634602580799</v>
      </c>
      <c r="AW71" s="37">
        <f t="shared" si="46"/>
        <v>24.481999922032522</v>
      </c>
      <c r="AX71" s="40">
        <f t="shared" si="71"/>
        <v>570.80788235634429</v>
      </c>
      <c r="AY71" s="2">
        <f t="shared" si="57"/>
        <v>27.22781255761538</v>
      </c>
      <c r="AZ71" s="2">
        <f t="shared" si="47"/>
        <v>774.99091165859545</v>
      </c>
      <c r="BA71" s="2">
        <f t="shared" si="48"/>
        <v>678.60879703406658</v>
      </c>
      <c r="BB71" s="44">
        <f t="shared" si="60"/>
        <v>678.60879703406658</v>
      </c>
      <c r="BC71">
        <f t="shared" si="49"/>
        <v>294</v>
      </c>
      <c r="BD71" s="2">
        <f t="shared" si="50"/>
        <v>60.759684527440918</v>
      </c>
      <c r="BE71" s="2">
        <f t="shared" si="51"/>
        <v>542.88703762725333</v>
      </c>
      <c r="BF71" s="2">
        <f t="shared" si="62"/>
        <v>23.288372006162941</v>
      </c>
      <c r="BG71" s="24">
        <f t="shared" si="61"/>
        <v>0.38328658529563636</v>
      </c>
    </row>
    <row r="72" spans="1:59" x14ac:dyDescent="0.25">
      <c r="A72">
        <f t="shared" si="11"/>
        <v>1020</v>
      </c>
      <c r="B72">
        <v>17</v>
      </c>
      <c r="C72" s="2">
        <f t="shared" si="58"/>
        <v>678.60879703406658</v>
      </c>
      <c r="D72" s="2">
        <f t="shared" si="12"/>
        <v>18.22164926028919</v>
      </c>
      <c r="E72" s="2">
        <f t="shared" si="13"/>
        <v>680.8685299921251</v>
      </c>
      <c r="F72" s="25">
        <f t="shared" si="14"/>
        <v>208.94180285870362</v>
      </c>
      <c r="G72">
        <f t="shared" si="15"/>
        <v>2.022719431108963E-5</v>
      </c>
      <c r="H72">
        <f t="shared" si="16"/>
        <v>5.9140359729717632E-5</v>
      </c>
      <c r="I72" s="3">
        <f t="shared" si="59"/>
        <v>3.5285206016239487E-5</v>
      </c>
      <c r="J72" s="28">
        <f t="shared" si="52"/>
        <v>7.0817585457723736E-2</v>
      </c>
      <c r="K72" s="24">
        <f t="shared" si="53"/>
        <v>50.431243340783105</v>
      </c>
      <c r="L72" s="33">
        <f t="shared" si="54"/>
        <v>308.15741866807087</v>
      </c>
      <c r="M72" s="39">
        <f t="shared" si="55"/>
        <v>12506.715228804942</v>
      </c>
      <c r="N72" s="40">
        <f t="shared" si="63"/>
        <v>475.62447376396238</v>
      </c>
      <c r="O72" s="32">
        <f t="shared" si="18"/>
        <v>3082666.3352569682</v>
      </c>
      <c r="P72" s="32">
        <f t="shared" si="19"/>
        <v>1881.096712668385</v>
      </c>
      <c r="Q72" s="33">
        <f t="shared" si="20"/>
        <v>2211.7676015683728</v>
      </c>
      <c r="R72" s="33">
        <f>(0.00527*(Q72^3))-(0.192*(Q72^2))+2.39*Q72</f>
        <v>56086284.92175857</v>
      </c>
      <c r="S72" s="39">
        <f t="shared" si="64"/>
        <v>502763.85710580827</v>
      </c>
      <c r="T72" s="36">
        <f t="shared" si="23"/>
        <v>614.00409496430916</v>
      </c>
      <c r="U72" s="36">
        <f t="shared" si="24"/>
        <v>13.604281100846467</v>
      </c>
      <c r="V72" s="37">
        <f t="shared" si="25"/>
        <v>60.914371480371557</v>
      </c>
      <c r="W72" s="40">
        <f t="shared" si="65"/>
        <v>1159.3010496459633</v>
      </c>
      <c r="X72" s="32">
        <f t="shared" si="26"/>
        <v>216877284141.52747</v>
      </c>
      <c r="Y72" s="32">
        <f t="shared" si="27"/>
        <v>2835984.2964101667</v>
      </c>
      <c r="Z72" s="33">
        <f t="shared" si="28"/>
        <v>103212.98570940999</v>
      </c>
      <c r="AA72" s="33">
        <f t="shared" si="29"/>
        <v>5792423826036.7197</v>
      </c>
      <c r="AB72" s="39">
        <f t="shared" si="66"/>
        <v>738040.44204337918</v>
      </c>
      <c r="AC72" s="36">
        <f t="shared" si="31"/>
        <v>1570.8073543693208</v>
      </c>
      <c r="AD72" s="36">
        <f t="shared" si="32"/>
        <v>32.836900253077964</v>
      </c>
      <c r="AE72" s="37">
        <f t="shared" si="33"/>
        <v>64.563173476987856</v>
      </c>
      <c r="AF72" s="40">
        <f t="shared" si="67"/>
        <v>466.52736329195125</v>
      </c>
      <c r="AG72" s="32">
        <f t="shared" si="34"/>
        <v>686500943310.21436</v>
      </c>
      <c r="AH72" s="32">
        <f t="shared" si="35"/>
        <v>6107935.3309666365</v>
      </c>
      <c r="AI72" s="33">
        <f t="shared" si="36"/>
        <v>151694.83888900082</v>
      </c>
      <c r="AJ72" s="33">
        <f t="shared" si="37"/>
        <v>18391566492129.633</v>
      </c>
      <c r="AK72" s="39">
        <f t="shared" si="68"/>
        <v>740306.35662611306</v>
      </c>
      <c r="AL72" s="36">
        <f t="shared" si="38"/>
        <v>613.01684075234016</v>
      </c>
      <c r="AM72" s="36">
        <f t="shared" si="39"/>
        <v>13.418953851368533</v>
      </c>
      <c r="AN72" s="37">
        <f t="shared" si="40"/>
        <v>61.656354526850578</v>
      </c>
      <c r="AO72" s="40">
        <f t="shared" si="69"/>
        <v>1168.2186330256345</v>
      </c>
      <c r="AP72" s="32">
        <f t="shared" si="56"/>
        <v>692846321858.9115</v>
      </c>
      <c r="AQ72" s="32">
        <f t="shared" si="41"/>
        <v>6145475.4270256022</v>
      </c>
      <c r="AR72" s="33">
        <f t="shared" si="42"/>
        <v>152161.76114796271</v>
      </c>
      <c r="AS72" s="33">
        <f>(0.00527*(AR72^3))-(0.192*(AR72^2))+2.39*AR72</f>
        <v>18561933193303.715</v>
      </c>
      <c r="AT72" s="39">
        <f t="shared" si="70"/>
        <v>740321.19755262579</v>
      </c>
      <c r="AU72" s="36">
        <f t="shared" si="44"/>
        <v>1602.2077134755873</v>
      </c>
      <c r="AV72" s="36">
        <f t="shared" si="45"/>
        <v>33.156936451252491</v>
      </c>
      <c r="AW72" s="37">
        <f t="shared" si="46"/>
        <v>65.218156448865443</v>
      </c>
      <c r="AX72" s="40">
        <f t="shared" si="71"/>
        <v>459.69846525723159</v>
      </c>
      <c r="AY72" s="2">
        <f t="shared" si="57"/>
        <v>51191.713175484372</v>
      </c>
      <c r="AZ72" s="2">
        <f t="shared" si="47"/>
        <v>680357.96333198156</v>
      </c>
      <c r="BA72" s="2">
        <f t="shared" si="48"/>
        <v>813.43637780519521</v>
      </c>
      <c r="BB72" s="44">
        <f t="shared" si="60"/>
        <v>813.43637780519521</v>
      </c>
      <c r="BC72">
        <f t="shared" si="49"/>
        <v>1020</v>
      </c>
      <c r="BD72" s="2">
        <f t="shared" si="50"/>
        <v>35.285206016239485</v>
      </c>
      <c r="BE72" s="2">
        <f t="shared" si="51"/>
        <v>650.74910224415623</v>
      </c>
      <c r="BF72" s="2">
        <f t="shared" si="62"/>
        <v>0.31190534790063956</v>
      </c>
      <c r="BG72" s="24">
        <f t="shared" si="61"/>
        <v>8.8395501433969192E-3</v>
      </c>
    </row>
    <row r="73" spans="1:59" x14ac:dyDescent="0.25">
      <c r="C73" s="2"/>
      <c r="D73" s="2"/>
      <c r="E73" s="2"/>
      <c r="F73" s="25"/>
      <c r="I73" s="3"/>
      <c r="J73" s="28"/>
      <c r="K73" s="24"/>
      <c r="L73" s="24"/>
      <c r="M73" s="39"/>
      <c r="N73" s="40"/>
      <c r="O73" s="32"/>
      <c r="P73" s="32"/>
      <c r="Q73" s="33"/>
      <c r="R73" s="33"/>
      <c r="S73" s="39"/>
      <c r="T73" s="36"/>
      <c r="U73" s="36"/>
      <c r="V73" s="37"/>
      <c r="W73" s="40"/>
      <c r="X73" s="32"/>
      <c r="Y73" s="32"/>
      <c r="Z73" s="33"/>
      <c r="AA73" s="33"/>
      <c r="AB73" s="39"/>
      <c r="AC73" s="36"/>
      <c r="AD73" s="36"/>
      <c r="AE73" s="37"/>
      <c r="AF73" s="40"/>
      <c r="AG73" s="32"/>
      <c r="AH73" s="32"/>
      <c r="AI73" s="33"/>
      <c r="AJ73" s="33"/>
      <c r="AK73" s="39"/>
      <c r="AL73" s="36"/>
      <c r="AM73" s="36"/>
      <c r="AN73" s="37"/>
      <c r="AO73" s="40"/>
      <c r="AP73" s="32"/>
      <c r="AQ73" s="32"/>
      <c r="AR73" s="33"/>
      <c r="AS73" s="33"/>
      <c r="AT73" s="39"/>
      <c r="AU73" s="36"/>
      <c r="AV73" s="36"/>
      <c r="AW73" s="37"/>
      <c r="AX73" s="40"/>
      <c r="AY73" s="24"/>
      <c r="AZ73" s="2"/>
      <c r="BA73" s="2"/>
      <c r="BB73" s="44"/>
    </row>
    <row r="74" spans="1:59" x14ac:dyDescent="0.25">
      <c r="C74" s="2"/>
      <c r="D74" s="2"/>
      <c r="E74" s="2"/>
      <c r="F74" s="25"/>
      <c r="I74" s="3"/>
      <c r="J74" s="28"/>
      <c r="K74" s="24"/>
      <c r="L74" s="24"/>
      <c r="M74" s="39"/>
      <c r="N74" s="40"/>
      <c r="O74" s="32"/>
      <c r="P74" s="32"/>
      <c r="Q74" s="33"/>
      <c r="R74" s="33"/>
      <c r="S74" s="39"/>
      <c r="T74" s="36"/>
      <c r="U74" s="36"/>
      <c r="V74" s="37"/>
      <c r="W74" s="40"/>
      <c r="X74" s="32"/>
      <c r="Y74" s="32"/>
      <c r="Z74" s="33"/>
      <c r="AA74" s="33"/>
      <c r="AB74" s="39"/>
      <c r="AC74" s="36"/>
      <c r="AD74" s="36"/>
      <c r="AE74" s="37"/>
      <c r="AF74" s="40"/>
      <c r="AG74" s="32"/>
      <c r="AH74" s="32"/>
      <c r="AI74" s="33"/>
      <c r="AJ74" s="33"/>
      <c r="AK74" s="39"/>
      <c r="AL74" s="36"/>
      <c r="AM74" s="36"/>
      <c r="AN74" s="37"/>
      <c r="AO74" s="40"/>
      <c r="AP74" s="32"/>
      <c r="AQ74" s="32"/>
      <c r="AR74" s="33"/>
      <c r="AS74" s="33"/>
      <c r="AT74" s="39"/>
      <c r="AU74" s="36"/>
      <c r="AV74" s="36"/>
      <c r="AW74" s="37"/>
      <c r="AX74" s="40"/>
      <c r="AY74" s="24"/>
      <c r="AZ74" s="2"/>
      <c r="BA74" s="2"/>
      <c r="BB74" s="44"/>
    </row>
    <row r="75" spans="1:59" x14ac:dyDescent="0.25">
      <c r="C75" s="2"/>
      <c r="D75" s="2"/>
      <c r="E75" s="2"/>
      <c r="F75" s="25"/>
      <c r="I75" s="3"/>
      <c r="J75" s="28"/>
      <c r="K75" s="24"/>
      <c r="L75" s="24"/>
      <c r="M75" s="39"/>
      <c r="N75" s="40"/>
      <c r="O75" s="32"/>
      <c r="P75" s="32"/>
      <c r="Q75" s="33"/>
      <c r="R75" s="33"/>
      <c r="S75" s="39"/>
      <c r="T75" s="36"/>
      <c r="U75" s="36"/>
      <c r="V75" s="37"/>
      <c r="W75" s="40"/>
      <c r="X75" s="32"/>
      <c r="Y75" s="32"/>
      <c r="Z75" s="33"/>
      <c r="AA75" s="33"/>
      <c r="AB75" s="39"/>
      <c r="AC75" s="36"/>
      <c r="AD75" s="36"/>
      <c r="AE75" s="37"/>
      <c r="AF75" s="40"/>
      <c r="AG75" s="32"/>
      <c r="AH75" s="32"/>
      <c r="AI75" s="33"/>
      <c r="AJ75" s="33"/>
      <c r="AK75" s="39"/>
      <c r="AL75" s="36"/>
      <c r="AM75" s="36"/>
      <c r="AN75" s="37"/>
      <c r="AO75" s="40"/>
      <c r="AP75" s="32"/>
      <c r="AQ75" s="32"/>
      <c r="AR75" s="33"/>
      <c r="AS75" s="33"/>
      <c r="AT75" s="39"/>
      <c r="AU75" s="36"/>
      <c r="AV75" s="36"/>
      <c r="AW75" s="37"/>
      <c r="AX75" s="40"/>
      <c r="AY75" s="24"/>
      <c r="AZ75" s="2"/>
      <c r="BA75" s="2"/>
      <c r="BB75" s="44"/>
    </row>
    <row r="76" spans="1:59" x14ac:dyDescent="0.25">
      <c r="C76" s="2"/>
      <c r="D76" s="2"/>
      <c r="E76" s="2"/>
      <c r="F76" s="25"/>
      <c r="I76" s="3"/>
      <c r="J76" s="28"/>
      <c r="K76" s="24"/>
      <c r="L76" s="24"/>
      <c r="M76" s="39"/>
      <c r="N76" s="40"/>
      <c r="O76" s="32"/>
      <c r="P76" s="32"/>
      <c r="Q76" s="33"/>
      <c r="R76" s="33"/>
      <c r="S76" s="39"/>
      <c r="T76" s="36"/>
      <c r="U76" s="36"/>
      <c r="V76" s="37"/>
      <c r="W76" s="40"/>
      <c r="X76" s="32"/>
      <c r="Y76" s="32"/>
      <c r="Z76" s="33"/>
      <c r="AA76" s="33"/>
      <c r="AB76" s="39"/>
      <c r="AC76" s="36"/>
      <c r="AD76" s="36"/>
      <c r="AE76" s="37"/>
      <c r="AF76" s="40"/>
      <c r="AG76" s="32"/>
      <c r="AH76" s="32"/>
      <c r="AI76" s="33"/>
      <c r="AJ76" s="33"/>
      <c r="AK76" s="39"/>
      <c r="AL76" s="36"/>
      <c r="AM76" s="36"/>
      <c r="AN76" s="37"/>
      <c r="AO76" s="40"/>
      <c r="AP76" s="32"/>
      <c r="AQ76" s="32"/>
      <c r="AR76" s="33"/>
      <c r="AS76" s="33"/>
      <c r="AT76" s="39"/>
      <c r="AU76" s="36"/>
      <c r="AV76" s="36"/>
      <c r="AW76" s="37"/>
      <c r="AX76" s="40"/>
      <c r="AY76" s="24"/>
      <c r="AZ76" s="2"/>
      <c r="BA76" s="2"/>
      <c r="BB76" s="4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 APPROACH</vt:lpstr>
      <vt:lpstr>NEW APPROACH (h250)</vt:lpstr>
      <vt:lpstr>NEW APPROACH (h50)</vt:lpstr>
      <vt:lpstr>NEW APPROACH (h10)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Manny Rosa</dc:creator>
  <cp:keywords/>
  <dc:description/>
  <cp:lastModifiedBy>Mahoney, Kaden T.</cp:lastModifiedBy>
  <cp:revision/>
  <dcterms:created xsi:type="dcterms:W3CDTF">2020-09-09T15:52:46Z</dcterms:created>
  <dcterms:modified xsi:type="dcterms:W3CDTF">2026-10-01T20:33:04Z</dcterms:modified>
  <cp:category/>
  <cp:contentStatus/>
</cp:coreProperties>
</file>